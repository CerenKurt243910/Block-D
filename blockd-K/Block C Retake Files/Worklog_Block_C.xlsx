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C:\Users\cerre\Desktop\WORK 2\2024-25c-fai1-adsai-CerenKurt243910\Deliverables\"/>
    </mc:Choice>
  </mc:AlternateContent>
  <xr:revisionPtr revIDLastSave="0" documentId="8_{673F78E5-7EE9-4FD9-97E6-36702540409B}" xr6:coauthVersionLast="47" xr6:coauthVersionMax="47" xr10:uidLastSave="{00000000-0000-0000-0000-000000000000}"/>
  <bookViews>
    <workbookView xWindow="-108" yWindow="-108" windowWidth="23256" windowHeight="12456" xr2:uid="{00000000-000D-0000-FFFF-FFFF00000000}"/>
  </bookViews>
  <sheets>
    <sheet name="Worklog_Tasks&amp;Times" sheetId="1" r:id="rId1"/>
    <sheet name="Overview" sheetId="2" r:id="rId2"/>
    <sheet name="Drop-downs" sheetId="3" state="hidden" r:id="rId3"/>
  </sheets>
  <definedNames>
    <definedName name="_xlnm._FilterDatabase" localSheetId="0" hidden="1">'Worklog_Tasks&amp;Times'!$A$1:$K$22</definedName>
    <definedName name="_xlnm.Print_Area" localSheetId="0">'Worklog_Tasks&amp;Times'!$A$1:$K$140</definedName>
    <definedName name="Z_8BAC9A6B_5D32_4E8D_967D_E17D357516F8_.wvu.FilterData" localSheetId="0" hidden="1">'Worklog_Tasks&amp;Times'!$A$1:$K$22</definedName>
  </definedNames>
  <calcPr calcId="191028"/>
  <customWorkbookViews>
    <customWorkbookView name="TODO" guid="{8BAC9A6B-5D32-4E8D-967D-E17D357516F8}" maximized="1" windowWidth="0" windowHeight="0" activeSheetId="0"/>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84" i="1" l="1"/>
  <c r="I83" i="1"/>
  <c r="I118" i="1"/>
  <c r="I69" i="1"/>
  <c r="I68" i="1"/>
  <c r="I67" i="1"/>
  <c r="I66" i="1"/>
  <c r="I65" i="1"/>
  <c r="I64" i="1"/>
  <c r="I63" i="1"/>
  <c r="I62" i="1"/>
  <c r="I61" i="1"/>
  <c r="I60" i="1"/>
  <c r="I59" i="1"/>
  <c r="I58" i="1"/>
  <c r="I57" i="1"/>
  <c r="I34" i="1"/>
  <c r="H22" i="1"/>
  <c r="G22" i="1"/>
  <c r="I16" i="1"/>
  <c r="I9" i="1"/>
  <c r="G5" i="2" a="1"/>
  <c r="G5" i="2" s="1"/>
  <c r="H5" i="2" a="1"/>
  <c r="H5" i="2" s="1"/>
  <c r="I5" i="2" a="1"/>
  <c r="I5" i="2" s="1"/>
  <c r="J5" i="2" a="1"/>
  <c r="J5" i="2" s="1"/>
  <c r="G7" i="2" a="1"/>
  <c r="G7" i="2" s="1"/>
  <c r="H7" i="2" a="1"/>
  <c r="H7" i="2" s="1"/>
  <c r="F9" i="2" a="1"/>
  <c r="F9" i="2" s="1"/>
  <c r="G9" i="2" a="1"/>
  <c r="G9" i="2" s="1"/>
  <c r="I10" i="2" a="1"/>
  <c r="I10" i="2" s="1"/>
  <c r="J4" i="2" a="1"/>
  <c r="J4" i="2" s="1"/>
  <c r="I4" i="2" a="1"/>
  <c r="I4" i="2" s="1"/>
  <c r="H4" i="2" a="1"/>
  <c r="H4" i="2" s="1"/>
  <c r="G4" i="2" a="1"/>
  <c r="G4" i="2" s="1"/>
  <c r="F4" i="2" a="1"/>
  <c r="F4" i="2" s="1"/>
  <c r="E4" i="2" a="1"/>
  <c r="E4" i="2" s="1"/>
  <c r="D5" i="2" a="1"/>
  <c r="D5" i="2" s="1"/>
  <c r="D4" i="2" a="1"/>
  <c r="D4" i="2" s="1"/>
  <c r="C4" i="2" a="1"/>
  <c r="C4" i="2" s="1"/>
  <c r="B10" i="2"/>
  <c r="D10" i="2" s="1" a="1"/>
  <c r="D10" i="2" s="1"/>
  <c r="B9" i="2"/>
  <c r="E9" i="2" s="1" a="1"/>
  <c r="E9" i="2" s="1"/>
  <c r="B8" i="2"/>
  <c r="C8" i="2" s="1" a="1"/>
  <c r="C8" i="2" s="1"/>
  <c r="B7" i="2"/>
  <c r="E7" i="2" s="1" a="1"/>
  <c r="E7" i="2" s="1"/>
  <c r="B6" i="2"/>
  <c r="C6" i="2" s="1" a="1"/>
  <c r="C6" i="2" s="1"/>
  <c r="B5" i="2"/>
  <c r="F5" i="2" s="1" a="1"/>
  <c r="F5" i="2" s="1"/>
  <c r="B4" i="2"/>
  <c r="K3" i="2"/>
  <c r="B3" i="2"/>
  <c r="H138" i="1"/>
  <c r="G138" i="1"/>
  <c r="I137" i="1"/>
  <c r="I136" i="1"/>
  <c r="I135" i="1"/>
  <c r="I134" i="1"/>
  <c r="I133" i="1"/>
  <c r="H129" i="1"/>
  <c r="G129" i="1"/>
  <c r="I128" i="1"/>
  <c r="I127" i="1"/>
  <c r="I126" i="1"/>
  <c r="I125" i="1"/>
  <c r="H121" i="1"/>
  <c r="G121" i="1"/>
  <c r="I120" i="1"/>
  <c r="I119" i="1"/>
  <c r="I117" i="1"/>
  <c r="I116" i="1"/>
  <c r="I115" i="1"/>
  <c r="I114" i="1"/>
  <c r="I113" i="1"/>
  <c r="I112" i="1"/>
  <c r="H108" i="1"/>
  <c r="G108" i="1"/>
  <c r="I98" i="1"/>
  <c r="I97" i="1"/>
  <c r="I96" i="1"/>
  <c r="I92" i="1"/>
  <c r="I91" i="1"/>
  <c r="I90" i="1"/>
  <c r="H86" i="1"/>
  <c r="G86" i="1"/>
  <c r="I85" i="1"/>
  <c r="I82" i="1"/>
  <c r="I81" i="1"/>
  <c r="I80" i="1"/>
  <c r="I79" i="1"/>
  <c r="I78" i="1"/>
  <c r="I77" i="1"/>
  <c r="I76" i="1"/>
  <c r="I75" i="1"/>
  <c r="I74" i="1"/>
  <c r="H70" i="1"/>
  <c r="G70" i="1"/>
  <c r="I56" i="1"/>
  <c r="I55" i="1"/>
  <c r="I54" i="1"/>
  <c r="I53" i="1"/>
  <c r="I52" i="1"/>
  <c r="I51" i="1"/>
  <c r="I50" i="1"/>
  <c r="I49" i="1"/>
  <c r="I48" i="1"/>
  <c r="H44" i="1"/>
  <c r="G44" i="1"/>
  <c r="I35" i="1"/>
  <c r="I33" i="1"/>
  <c r="I32" i="1"/>
  <c r="I31" i="1"/>
  <c r="I30" i="1"/>
  <c r="I29" i="1"/>
  <c r="I26" i="1"/>
  <c r="I15" i="1"/>
  <c r="I14" i="1"/>
  <c r="I13" i="1"/>
  <c r="I12" i="1"/>
  <c r="I11" i="1"/>
  <c r="I10" i="1"/>
  <c r="I8" i="1"/>
  <c r="I7" i="1"/>
  <c r="I6" i="1"/>
  <c r="I5" i="1"/>
  <c r="I108" i="1" l="1"/>
  <c r="E10" i="2" a="1"/>
  <c r="E10" i="2" s="1"/>
  <c r="J10" i="2" a="1"/>
  <c r="J10" i="2" s="1"/>
  <c r="G10" i="2" a="1"/>
  <c r="G10" i="2" s="1"/>
  <c r="C10" i="2" a="1"/>
  <c r="C10" i="2" s="1"/>
  <c r="H10" i="2" a="1"/>
  <c r="H10" i="2" s="1"/>
  <c r="F10" i="2" a="1"/>
  <c r="F10" i="2" s="1"/>
  <c r="C9" i="2" a="1"/>
  <c r="C9" i="2" s="1"/>
  <c r="J9" i="2" a="1"/>
  <c r="J9" i="2" s="1"/>
  <c r="I9" i="2" a="1"/>
  <c r="I9" i="2" s="1"/>
  <c r="D9" i="2" a="1"/>
  <c r="D9" i="2" s="1"/>
  <c r="H9" i="2" a="1"/>
  <c r="H9" i="2" s="1"/>
  <c r="D8" i="2" a="1"/>
  <c r="D8" i="2" s="1"/>
  <c r="J8" i="2" a="1"/>
  <c r="J8" i="2" s="1"/>
  <c r="I8" i="2" a="1"/>
  <c r="I8" i="2" s="1"/>
  <c r="H8" i="2" a="1"/>
  <c r="H8" i="2" s="1"/>
  <c r="G8" i="2" a="1"/>
  <c r="G8" i="2" s="1"/>
  <c r="F8" i="2" a="1"/>
  <c r="F8" i="2" s="1"/>
  <c r="E8" i="2" a="1"/>
  <c r="E8" i="2" s="1"/>
  <c r="D7" i="2" a="1"/>
  <c r="D7" i="2" s="1"/>
  <c r="C7" i="2" a="1"/>
  <c r="C7" i="2" s="1"/>
  <c r="I7" i="2" a="1"/>
  <c r="I7" i="2" s="1"/>
  <c r="J7" i="2" a="1"/>
  <c r="J7" i="2" s="1"/>
  <c r="F7" i="2" a="1"/>
  <c r="F7" i="2" s="1"/>
  <c r="D6" i="2" a="1"/>
  <c r="D6" i="2" s="1"/>
  <c r="J6" i="2" a="1"/>
  <c r="J6" i="2" s="1"/>
  <c r="I6" i="2" a="1"/>
  <c r="I6" i="2" s="1"/>
  <c r="H6" i="2" a="1"/>
  <c r="H6" i="2" s="1"/>
  <c r="G6" i="2" a="1"/>
  <c r="G6" i="2" s="1"/>
  <c r="F6" i="2" a="1"/>
  <c r="F6" i="2" s="1"/>
  <c r="E6" i="2" a="1"/>
  <c r="E6" i="2" s="1"/>
  <c r="C5" i="2" a="1"/>
  <c r="C5" i="2" s="1"/>
  <c r="E5" i="2" a="1"/>
  <c r="E5" i="2" s="1"/>
  <c r="H140" i="1"/>
  <c r="K4" i="2"/>
  <c r="I22" i="1"/>
  <c r="I44" i="1"/>
  <c r="I70" i="1"/>
  <c r="I86" i="1"/>
  <c r="I121" i="1"/>
  <c r="I129" i="1"/>
  <c r="I138" i="1"/>
  <c r="G140" i="1"/>
  <c r="K6" i="2" l="1"/>
  <c r="D11" i="2"/>
  <c r="K7" i="2"/>
  <c r="K9" i="2"/>
  <c r="K10" i="2"/>
  <c r="H11" i="2"/>
  <c r="K8" i="2"/>
  <c r="G11" i="2"/>
  <c r="I11" i="2"/>
  <c r="J11" i="2"/>
  <c r="C11" i="2"/>
  <c r="F11" i="2"/>
  <c r="E11" i="2"/>
  <c r="K5" i="2"/>
  <c r="I140" i="1"/>
  <c r="A2" i="1"/>
  <c r="A2" i="1" a="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<sst xmlns="http://schemas.openxmlformats.org/spreadsheetml/2006/main" count="833" uniqueCount="456">
  <si>
    <t>Date</t>
  </si>
  <si>
    <t>Status</t>
  </si>
  <si>
    <t>Task</t>
  </si>
  <si>
    <t>Description/Planning</t>
  </si>
  <si>
    <t>Task Type</t>
  </si>
  <si>
    <t>Most suited ILO</t>
  </si>
  <si>
    <t>Est Hours</t>
  </si>
  <si>
    <t>Actual Hours</t>
  </si>
  <si>
    <t>Diff</t>
  </si>
  <si>
    <t>Evidence link</t>
  </si>
  <si>
    <t>Task reflection / notes</t>
  </si>
  <si>
    <t>week plan:</t>
  </si>
  <si>
    <t>- Weekplan item 1
- Weekplan item 2
- Weekplan item 3
- etc</t>
  </si>
  <si>
    <t>Known Risks</t>
  </si>
  <si>
    <t>[Enter known possible issues that are a risk for you to finish the high level week planning]</t>
  </si>
  <si>
    <t>Total Hours</t>
  </si>
  <si>
    <t>Week 2</t>
  </si>
  <si>
    <t>[Enter known possible issues that are a risk for you to finish the high level week planning] - if any</t>
  </si>
  <si>
    <t>Week 3</t>
  </si>
  <si>
    <t xml:space="preserve">Week 4 </t>
  </si>
  <si>
    <t xml:space="preserve">Week 5 </t>
  </si>
  <si>
    <t xml:space="preserve">Week 6 </t>
  </si>
  <si>
    <t>Week 7</t>
  </si>
  <si>
    <t xml:space="preserve">Week 8 </t>
  </si>
  <si>
    <t>Total hours this block</t>
  </si>
  <si>
    <t>Learning Objective</t>
  </si>
  <si>
    <t>W1</t>
  </si>
  <si>
    <t>W2</t>
  </si>
  <si>
    <t>W3</t>
  </si>
  <si>
    <t>W4</t>
  </si>
  <si>
    <t>W5</t>
  </si>
  <si>
    <t>W6</t>
  </si>
  <si>
    <t>W7</t>
  </si>
  <si>
    <t>W8</t>
  </si>
  <si>
    <t xml:space="preserve">Total Hours for objective </t>
  </si>
  <si>
    <t>TOTAL HOURS PER WEEK</t>
  </si>
  <si>
    <t>Use this to plan a high level allocation for all 320 hours you are expected to devote to the course during this block. How do you want to allocate your hours for each week?
Why 320 hours? The European Higher Education Framework states that an academic credit is expected to require 25-28 hours to earn.
You earn 15 credits per block, so you should be expected to devote 375 hours to accomplish that. 
CMGT students do fewer hours because the program is more intense.</t>
  </si>
  <si>
    <t>Task Status</t>
  </si>
  <si>
    <t>ILO selection</t>
  </si>
  <si>
    <t>-</t>
  </si>
  <si>
    <t>Planned</t>
  </si>
  <si>
    <t>Design</t>
  </si>
  <si>
    <t>Unplanned</t>
  </si>
  <si>
    <t>Meeting</t>
  </si>
  <si>
    <t>Blocked</t>
  </si>
  <si>
    <t>Programming</t>
  </si>
  <si>
    <t>In-Progress</t>
  </si>
  <si>
    <t>Research</t>
  </si>
  <si>
    <t>Done</t>
  </si>
  <si>
    <t>Testing</t>
  </si>
  <si>
    <t>Delayed</t>
  </si>
  <si>
    <t>Workshop</t>
  </si>
  <si>
    <t>Cancelled</t>
  </si>
  <si>
    <t>Planning</t>
  </si>
  <si>
    <t>Evidencing</t>
  </si>
  <si>
    <t>Debugging</t>
  </si>
  <si>
    <t>Lecture</t>
  </si>
  <si>
    <t>Study</t>
  </si>
  <si>
    <t>Distraction</t>
  </si>
  <si>
    <t>Break</t>
  </si>
  <si>
    <r>
      <t xml:space="preserve">If you add more rows to the Worklog Tasks and Time sheet, make sure to update the row count accordingly. For example, if you add an additional row for Week 1, you'll need to adjust all formula in Column C from </t>
    </r>
    <r>
      <rPr>
        <b/>
        <sz val="10"/>
        <rFont val="Arial"/>
        <family val="2"/>
      </rPr>
      <t xml:space="preserve">H14 to H15 </t>
    </r>
    <r>
      <rPr>
        <sz val="10"/>
        <rFont val="Arial"/>
        <family val="2"/>
      </rPr>
      <t xml:space="preserve">and </t>
    </r>
    <r>
      <rPr>
        <b/>
        <sz val="10"/>
        <rFont val="Arial"/>
        <family val="2"/>
      </rPr>
      <t>F14 to F15</t>
    </r>
  </si>
  <si>
    <t>ILO 1.3</t>
  </si>
  <si>
    <t>ILO 2.3</t>
  </si>
  <si>
    <t>ILO 3.2</t>
  </si>
  <si>
    <t>ILO 4.1</t>
  </si>
  <si>
    <t>ILO 6.2</t>
  </si>
  <si>
    <t>ILO 8.2</t>
  </si>
  <si>
    <t>ILO 9.1</t>
  </si>
  <si>
    <t>ALL WEEK</t>
  </si>
  <si>
    <t>All Week 1 Evidence</t>
  </si>
  <si>
    <t>This section is for all evidence linked in Week 1, and you can find it divided by days below</t>
  </si>
  <si>
    <t>This section is for all evidence linked in Week 2, and you can find it divided by days below</t>
  </si>
  <si>
    <t>All Week 2 Evidence</t>
  </si>
  <si>
    <t>All Week 3 Evidence</t>
  </si>
  <si>
    <t>All Week 4 Evidence</t>
  </si>
  <si>
    <t>All Week 5 Evidence</t>
  </si>
  <si>
    <t>All Week 6 Evidence</t>
  </si>
  <si>
    <t>All Week 7 Evidence</t>
  </si>
  <si>
    <t>All  Week 8 Evidence</t>
  </si>
  <si>
    <t>This section is for all evidence linked in Week 3, and you can find it divided by days below</t>
  </si>
  <si>
    <t>This section is for all evidence linked in Week 4, and you can find it divided by days below</t>
  </si>
  <si>
    <t>This section is for all evidence linked in Week 5, and you can find it divided by days below</t>
  </si>
  <si>
    <t>This section is for all evidence linked in Week 6, and you can find it divided by days below</t>
  </si>
  <si>
    <t>This section is for all evidence linked in Week 7, and you can find it divided by days below</t>
  </si>
  <si>
    <t>This section is for all evidence linked in Week 8, and you can find it divided by days below</t>
  </si>
  <si>
    <t>I reviewed PlantNet to understand its identification features and user experience.</t>
  </si>
  <si>
    <t>The app provides plant recognition but lacks disease detection and care recommendations</t>
  </si>
  <si>
    <t xml:space="preserve">PlantNet </t>
  </si>
  <si>
    <t>I analyzed PictureThis to compare its plant identification accuracy and additional features.</t>
  </si>
  <si>
    <t>While the app includes plant care tips, its recommendations are too generic and not customized</t>
  </si>
  <si>
    <t>PictureThis</t>
  </si>
  <si>
    <t>I reviewed AlgorithmWatch’s analysis on plant identification apps to understand their limitations.</t>
  </si>
  <si>
    <t>AlgorithmWatch</t>
  </si>
  <si>
    <t>The report highlights that these apps often misidentify plants and lack real-time monitoring</t>
  </si>
  <si>
    <t>PlantNet App Analysis</t>
  </si>
  <si>
    <t>PictureThis App Review</t>
  </si>
  <si>
    <t>AlgorithmWatch Review</t>
  </si>
  <si>
    <t>I created a DAPS diagram to define how AI-powered image classification helps plant care.</t>
  </si>
  <si>
    <t xml:space="preserve">DAPS Diagram &amp; Business Value </t>
  </si>
  <si>
    <t>The DAPS diagram was a bit challenging, but it helped structure the problem clearly.</t>
  </si>
  <si>
    <t>DAPS Diagram Evidence</t>
  </si>
  <si>
    <t>I completed the Business Understanding Template, defining the problem, market needs, and stakeholders.</t>
  </si>
  <si>
    <t>The template was clear but required research to align my idea with business value.</t>
  </si>
  <si>
    <t>Business Understanding Template</t>
  </si>
  <si>
    <t>Template Evidence</t>
  </si>
  <si>
    <t>I read the paper ‘DAPS diagrams for defining Data Science projects’ to better understand how to structure business value within my project.</t>
  </si>
  <si>
    <t>DAPS Diagram &amp; Business Value Analysis</t>
  </si>
  <si>
    <t>The paper helped me understand how to connect my project’s impact to business goals. This made defining the business value in my DAPS diagram clearer.</t>
  </si>
  <si>
    <t xml:space="preserve">DAPS Diagram Paper </t>
  </si>
  <si>
    <t>AI Products Video</t>
  </si>
  <si>
    <t>Article Evidence</t>
  </si>
  <si>
    <t>I watched a video on Human-Centered AI to understand how ML can enhance user experience while staying user-focused.</t>
  </si>
  <si>
    <t>The video helped me see the importance of designing AI systems that empower users rather than control them.</t>
  </si>
  <si>
    <t>HCAI Video Analysis</t>
  </si>
  <si>
    <t>I read an article on Human-Centered Machine Learning to explore how AI can be designed with a user-first approach</t>
  </si>
  <si>
    <t>HCAI Article Review</t>
  </si>
  <si>
    <t>The article gave me insights into making AI more transparent, fair, and user-friendly</t>
  </si>
  <si>
    <t>I watched a lecture on the Extended Mind Hypothesis and Network Enabled Cognition to understand how humans process information and interact with AI.</t>
  </si>
  <si>
    <t>This theory helped me see AI as an extension of human cognition, improving decision-making and problem-solving.</t>
  </si>
  <si>
    <t>Extended Mind Video</t>
  </si>
  <si>
    <t>Extended Mind &amp; AI</t>
  </si>
  <si>
    <t>I read an academic paper on the Extended Mind Hypothesis to explore how technology, including AI, enhances human cognition.</t>
  </si>
  <si>
    <t>The paper provided deeper insights into how AI can function as an external memory and thinking tool for users</t>
  </si>
  <si>
    <t>Extended Mind – Paper</t>
  </si>
  <si>
    <t>Extended Mind Paper</t>
  </si>
  <si>
    <t>Design Thinking Video</t>
  </si>
  <si>
    <t>I completed a LinkedIn Learning course on Design Thinking to understand structured problem-solving methods and their role in product development</t>
  </si>
  <si>
    <t>This course helped me see how structured design processes improve innovation, collaboration, and efficiency in AI-driven projects</t>
  </si>
  <si>
    <t>I watched a video explaining the difference between divergent and convergent thinking in problem-solving.</t>
  </si>
  <si>
    <t>The video helped me understand when to generate multiple ideas (divergent) and when to refine them into a single best solution</t>
  </si>
  <si>
    <t>Divergent Video</t>
  </si>
  <si>
    <t>Divergent vs. Convergent Thinking</t>
  </si>
  <si>
    <t>Linkedln Course Evidence</t>
  </si>
  <si>
    <t>I completed the Practical Assignment (Week 1, Wednesday) quiz on Brightspace, answering questions about problem definition, stakeholder analysis, and AI-driven solutions in high-level design.</t>
  </si>
  <si>
    <t>This quiz helped me refine my problem statement and evaluate different solutions while considering AI’s role in optimizing user experience</t>
  </si>
  <si>
    <t>High-Level Design &amp; AI Solutions</t>
  </si>
  <si>
    <t xml:space="preserve">Practical Assignment Quiz </t>
  </si>
  <si>
    <t>Fairness &amp; Bias Quiz</t>
  </si>
  <si>
    <t>I learned about fairness, bias, equality, and equity. I also gave examples and reflected on how things like maps or datasets can create bias.</t>
  </si>
  <si>
    <t>I didn’t realize how easy it is to have bias without noticing. It really made me think.</t>
  </si>
  <si>
    <t>Fairness Quiz Evidence</t>
  </si>
  <si>
    <t>Image Dataset &amp; Bias Analysis</t>
  </si>
  <si>
    <t>I created an image dataset using web scraping and documented the steps. Then I analyzed bias in my dataset using examples and linked it to fairness concepts</t>
  </si>
  <si>
    <t>It was interesting to see how bias can exist even in small details like image selection. I didn’t think about that before</t>
  </si>
  <si>
    <t>Image dataset folder, bias analysis in Responsible AI Template, completed DL template (Task 3.1)</t>
  </si>
  <si>
    <t>I examined my plant health dataset to identify possible bias and described how it could affect model accuracy</t>
  </si>
  <si>
    <t>Dataset Bias Analysis</t>
  </si>
  <si>
    <t>I learned that even plants can reflect bias if the context isn’t diverse enough.</t>
  </si>
  <si>
    <t>Responsible AI Template – Task 2.2 section</t>
  </si>
  <si>
    <t>I studied fairness in AI by exploring individual and group fairness concepts. I answered questions about bias types, fairness metrics, and fairness worldviews like WAE and WYSIWYG</t>
  </si>
  <si>
    <t>I realized that what's fair for a group might not feel fair to individuals, and different fairness metrics can lead to different ethical decisions</t>
  </si>
  <si>
    <t>Quiz Evidence</t>
  </si>
  <si>
    <t>I read RStudio’s blog on AI fairness, which helped me connect concepts like group vs. individual fairness, bias sources, and fairness metrics.</t>
  </si>
  <si>
    <t>It made fairness concepts feel more practical and clarified how different fairness metrics apply to real-world problems.</t>
  </si>
  <si>
    <t>Blog  Evidence</t>
  </si>
  <si>
    <t>AI Fairness Blog</t>
  </si>
  <si>
    <t>Fairness in Binary Classification</t>
  </si>
  <si>
    <t>It showed me how easily models can be unfair without proper attention and how tweaking thresholds or datasets can improve fairness.</t>
  </si>
  <si>
    <t>Tutorial screenshots</t>
  </si>
  <si>
    <t>Fairness Infographic</t>
  </si>
  <si>
    <t>This task helped me better understand how different fairness metrics apply in practice and how to communicate them clearly.</t>
  </si>
  <si>
    <t xml:space="preserve">Group Fairness Infographic </t>
  </si>
  <si>
    <t>Filled out the full Responsible AI Template for Task 2.3 and 2.4. This included proposing an individual fairness method, documenting the infographic process, peer feedback, improvement steps, and reflection.</t>
  </si>
  <si>
    <t>I created a detailed infographic explaining group fairness metrics in machine learning, including a real-world use case and visual comparisons between three key metrics</t>
  </si>
  <si>
    <t>I explored Google’s interactive tutorial on discrimination in ML and learned how bias can sneak into binary classifiers and how to reduce it.</t>
  </si>
  <si>
    <t>Responsible AI Template Completion</t>
  </si>
  <si>
    <t>It was useful to articulate my thought process and justify my design and method choices. Writing everything down helped me better connect theory with practical application.</t>
  </si>
  <si>
    <t>Responsible Ai Template</t>
  </si>
  <si>
    <t>Guest Lecture: Group Fairness</t>
  </si>
  <si>
    <t>I attended the guest lecture by Marco Favier on group fairness in AI. The session provided deeper insights into how mathematical concepts are used to measure and improve fairness in ML models.</t>
  </si>
  <si>
    <t>It helped me see the real-world impact of group fairness metrics and why they matter beyond just academic definitions.</t>
  </si>
  <si>
    <t>I participated in the public speaking session by Bert Heesakkers.</t>
  </si>
  <si>
    <t>MPublic Speaking Lecture</t>
  </si>
  <si>
    <t>I realized that public speaking is more about connection and clarity than perfection. It gave me confidence for future presentations.</t>
  </si>
  <si>
    <t>Group Fairness Practical Assignment</t>
  </si>
  <si>
    <t>I completed the optional practical assignment by writing a Jupyter Notebook that calculates three fairness metrics using gender-based confusion matrices.</t>
  </si>
  <si>
    <t xml:space="preserve"> This task helped me understand how bias can be revealed through simple metrics and how math supports fairness evaluation.</t>
  </si>
  <si>
    <t>Fairness Metrics Analysis</t>
  </si>
  <si>
    <t>I reviewed the AXA Fairness Compass interactive tool to better understand and compare different group fairness metrics in machine learning.</t>
  </si>
  <si>
    <t>Fairness Compass Resource Integration</t>
  </si>
  <si>
    <t>The tool helped me visualize complex metrics and decide which ones were most appropriate for my dataset and use case.</t>
  </si>
  <si>
    <t>AXA Fairness Compass</t>
  </si>
  <si>
    <t>I studied Chapters 1 and 2 from Deep Learning with Python and completed the first two chapters of the DataCamp course Introduction to Deep Learning with Keras.</t>
  </si>
  <si>
    <t>Introduction to Deep Learning</t>
  </si>
  <si>
    <t>Helped me understand the difference between machine learning and deep learning more clearly. I learned how Sequential models and Dense layers work in Keras, and got familiar with essential concepts like tensors and loss functions</t>
  </si>
  <si>
    <t>Chapters 1 &amp; 2</t>
  </si>
  <si>
    <t>Completed Chapters 1 &amp; 2, practiced building Sequential models with Dense layers and activation functions.</t>
  </si>
  <si>
    <t>DataCamp Progress</t>
  </si>
  <si>
    <t>DataCamp Cercifitace</t>
  </si>
  <si>
    <t>Helped me understand how to structure and train basic neural networks. Keras made things feel beginner-friendly</t>
  </si>
  <si>
    <t>I answered quiz questions on Sequential models, Dense layers, Keras functions, loss functions, and tensor attributes.</t>
  </si>
  <si>
    <t>Deep Learning Quiz Responses</t>
  </si>
  <si>
    <t xml:space="preserve"> The quiz reinforced my understanding of neural network layers, loss functions, and tensors</t>
  </si>
  <si>
    <t>Quiz Evidence Deep Learing</t>
  </si>
  <si>
    <t xml:space="preserve"> Installed required packages for deep learning (NumPy, Pandas, TensorFlow, etc.) in a new conda environment.</t>
  </si>
  <si>
    <t>Package Installation for Deep Learning</t>
  </si>
  <si>
    <t>Successfully set up the environment, ensuring compatibility with the deep learning module's requirements.</t>
  </si>
  <si>
    <t>Package list and installation</t>
  </si>
  <si>
    <t>Model Training and Evaluation</t>
  </si>
  <si>
    <t>Ran model training for 5 epochs on the MNIST dataset and evaluated its accuracy on the test set.</t>
  </si>
  <si>
    <t>Achieved a test accuracy of 97.97%, confirming the model's effectiveness.</t>
  </si>
  <si>
    <t>Screenshot of training process</t>
  </si>
  <si>
    <t xml:space="preserve"> I applied normalization to the Mean Radius and Mean Fractal Dimension columns, scaling them to the 0-1 range, and compared the histograms before and after normalization.</t>
  </si>
  <si>
    <t>This process will help the model learn faster and reduce the impact of features with different scales.</t>
  </si>
  <si>
    <t xml:space="preserve"> Normalized data and histograms.</t>
  </si>
  <si>
    <t>Exact Match Ratio Calculation</t>
  </si>
  <si>
    <t>Generated predictions using model.predict(), applied a 0.5 threshold, and calculated the Exact Match Ratio by comparing with y_test</t>
  </si>
  <si>
    <t>This metric evaluates the model's accuracy in multi-label classification tasks.</t>
  </si>
  <si>
    <t>Code Evidence</t>
  </si>
  <si>
    <t>Research on Normalizer from Scikit-learn</t>
  </si>
  <si>
    <t>Investigated the usage of Normalizer from Scikit-learn for scaling feature vectors in machine learning models.</t>
  </si>
  <si>
    <t>This normalization technique ensures that each feature vector has unit norm, which can be beneficial for certain algorithms, like SVMs and k-NN, where distance metrics are crucial.</t>
  </si>
  <si>
    <t>Scikit-learn</t>
  </si>
  <si>
    <t>Individual &amp; Group Fairness</t>
  </si>
  <si>
    <t>Normalization for Machine Learning Model</t>
  </si>
  <si>
    <t>Training the IMDB Movie Reviews Model</t>
  </si>
  <si>
    <t>I trained the model using the IMDB dataset, performed the necessary preprocessing, and evaluated its performance on the test set.</t>
  </si>
  <si>
    <t>The model performed decently, but there is room for improvement, especially in terms of validation accuracy. I might consider experimenting with different architectures or adding dropout to prevent overfitting.</t>
  </si>
  <si>
    <t xml:space="preserve"> IMDB model training and evaluation</t>
  </si>
  <si>
    <t>I followed the steps for training and evaluating the neural network using the Reuters dataset, performed data preprocessing, and evaluated the model’s performance using accuracy metrics.</t>
  </si>
  <si>
    <t>The model achieved reasonable results, but there might be room for improvement by fine-tuning hyperparameters or using techniques like regularization</t>
  </si>
  <si>
    <t>Reuters dataset model training</t>
  </si>
  <si>
    <t>California Housing Dataset Model</t>
  </si>
  <si>
    <t xml:space="preserve"> I trained the neural network on the California housing dataset and evaluated its performance using the mean squared error (MSE) loss function</t>
  </si>
  <si>
    <t>The model was effective, but it may benefit from further tuning with different optimizers or architectures to improve prediction accuracy and reduce overfitting.</t>
  </si>
  <si>
    <t xml:space="preserve"> California housing dataset model training</t>
  </si>
  <si>
    <t xml:space="preserve"> I studied Chapter 3 of "Deep Learning with Python," covering how to improve model performance, interpret learning curves, and adjust parameters like batch size and activation functions.</t>
  </si>
  <si>
    <t xml:space="preserve">Chapter 3 </t>
  </si>
  <si>
    <t xml:space="preserve"> Chapter 3 </t>
  </si>
  <si>
    <t xml:space="preserve"> I completed the quiz related to Chapter 3 of Deep Learning with Python</t>
  </si>
  <si>
    <t>Link to the completed quiz</t>
  </si>
  <si>
    <t>The quiz was too effective for me</t>
  </si>
  <si>
    <t>Video Review</t>
  </si>
  <si>
    <t>I watched the video titled "How to Evaluate Machine Learning Models" on YouTube. The video covered the common evaluation metrics</t>
  </si>
  <si>
    <t>The video was a great refresher on evaluation metrics, especially for classification tasks. It clarified how precision and recall are important for imbalanced datasets</t>
  </si>
  <si>
    <t xml:space="preserve"> https://youtu.be/LbX4X71-TFI</t>
  </si>
  <si>
    <t>I explored the Keras Metrics documentation to understand various metrics used in model evaluation</t>
  </si>
  <si>
    <t>Keras Metrics:</t>
  </si>
  <si>
    <t>After reviewing Keras metrics, I gained a clearer understanding of the flexibility Keras provides for model evaluation.</t>
  </si>
  <si>
    <t>https://keras.io/api/metrics/</t>
  </si>
  <si>
    <t xml:space="preserve"> I explored scikit-learn's evaluation metrics to understand how it can be used in model evaluation.</t>
  </si>
  <si>
    <t>Scikit-Learn Metrics</t>
  </si>
  <si>
    <t>https://scikit-learn.org/stable/modules/model_evaluation.html</t>
  </si>
  <si>
    <t>I also implemented two different methods for splitting datasets (train/validation/test) in Keras using scikit-learn’s train_test_split.</t>
  </si>
  <si>
    <t>Model Evaluation Metrics</t>
  </si>
  <si>
    <t>I gained a better understanding of which metrics are most useful for different types of models. It was important to understand when to use metrics like precision and recall versus accuracy, especially for imbalanced datasets</t>
  </si>
  <si>
    <t>Jupyter notebook</t>
  </si>
  <si>
    <t xml:space="preserve"> I followed the steps for building and evaluating a Multilayer Perceptron (MLP) model on the MNIST dataset</t>
  </si>
  <si>
    <t>By using the MNIST dataset, I was able to visualize and analyze the model's performance, particularly through the loss and accuracy curves. I noticed that early stopping helped prevent overfitting</t>
  </si>
  <si>
    <t>Practical Assignment II</t>
  </si>
  <si>
    <t xml:space="preserve">Practical Assignment II </t>
  </si>
  <si>
    <t>Preprocessed data and built MLP model with different learning rates for comparison.</t>
  </si>
  <si>
    <t>MLP Model Training and Evaluation</t>
  </si>
  <si>
    <t>I learned how different learning rates affect the model's performance and stability during training.</t>
  </si>
  <si>
    <t>MLP Model Performance</t>
  </si>
  <si>
    <t>I followed the Figma beginner tutorial to create a basic social media app design, learning wireframing, high-fidelity design, prototyping</t>
  </si>
  <si>
    <t>he tutorial helped me understand essential design tools and techniques in Figma</t>
  </si>
  <si>
    <t>Figma Design</t>
  </si>
  <si>
    <t>https://help.figma.com/hc/en-us/sections/4405269443991-Figma-for-Beginners-tutorial-4-parts-</t>
  </si>
  <si>
    <t>Completed the "UX Foundations: Interaction Design" course on LinkedIn Learning, learning key concepts like affordance</t>
  </si>
  <si>
    <t>The course provided a deep understanding of how interactions shape user experiences</t>
  </si>
  <si>
    <t>Course Evidence</t>
  </si>
  <si>
    <t>Finished the "Interaction Design: Interface" course, where I explored UI design</t>
  </si>
  <si>
    <t>The course enhanced my knowledge of creating high-fidelity interfaces and how different interaction types and their timings can influence usability and engagement.</t>
  </si>
  <si>
    <t>User Interface Design</t>
  </si>
  <si>
    <t xml:space="preserve">Quiz </t>
  </si>
  <si>
    <t>Completed interaction design tasks and quizzes</t>
  </si>
  <si>
    <t>I gained a deeper understanding of how user interaction is designed</t>
  </si>
  <si>
    <t>Created a sleek mobile app design for tracking plant health from figma</t>
  </si>
  <si>
    <t>Design From Figms</t>
  </si>
  <si>
    <t>I explored various design approaches to create a user-friendly app.</t>
  </si>
  <si>
    <t xml:space="preserve">Figma Evidence </t>
  </si>
  <si>
    <t>Neural Network Architecture Study</t>
  </si>
  <si>
    <t>I studied perceptrons, sigmoid neurons, and multilayer architectures to understand neural network structures.</t>
  </si>
  <si>
    <t>Understanding the components like weights, biases, and activation functions helped me grasp how data flows through the network.</t>
  </si>
  <si>
    <t>https://youtu.be/aircAruvnKk</t>
  </si>
  <si>
    <t>I watched Grant Sanderson’s video to visualize how neural networks compute and process image data.</t>
  </si>
  <si>
    <t>Visualizing Neural Networks</t>
  </si>
  <si>
    <t>The animation made abstract neural concepts like layers and training more intuitive and easier to understand.</t>
  </si>
  <si>
    <t>https://youtu.be/IHZwWFHWa-w</t>
  </si>
  <si>
    <t>I completed the DataLab Preparation quiz by answering questions about perceptrons, MLPs, and gradient descent.</t>
  </si>
  <si>
    <t>The quiz helped reinforce my understanding and identify which concepts I needed to review more carefully before the implementation lab.</t>
  </si>
  <si>
    <t>Week 3 Quiz Screenshot</t>
  </si>
  <si>
    <t>DataLab Preparation Quiz Completion</t>
  </si>
  <si>
    <t>I implemented a naive gradient descent algorithm in the Week 3 student notebook using a single trainable parameter.</t>
  </si>
  <si>
    <t>Visualizing each update step helped me understand how gradient descent iteratively minimizes loss in a neural network.</t>
  </si>
  <si>
    <t>Gradient Descent Notebook Screenshot
Workload Heading:</t>
  </si>
  <si>
    <t>I implemented a full multilayer perceptron from scratch using Python without deep learning libraries.</t>
  </si>
  <si>
    <t>Building each function manually helped me understand how neural networks work under the hood, especially forward pass and gradient descent.
Evidence Heading:</t>
  </si>
  <si>
    <t>Notebook: MLP Implementation</t>
  </si>
  <si>
    <t>MLP From Scratch Notebook</t>
  </si>
  <si>
    <t>I completed the full DataCamp course on Image Modeling with Keras and answered detailed questions about CNN layers and architecture.</t>
  </si>
  <si>
    <t>This course helped me connect theoretical CNN concepts with real-world Keras implementations, especially how convolution and pooling work.</t>
  </si>
  <si>
    <t>DataCamp Completion</t>
  </si>
  <si>
    <t>Keras CNN Training &amp; Quiz</t>
  </si>
  <si>
    <t>I studied chapters on convolutional networks and Keras workflows from the Deep Learning with Python book to prepare for the DataLab.</t>
  </si>
  <si>
    <t>Chapter 7 &amp; 8</t>
  </si>
  <si>
    <t>CNN Concepts from Python Book</t>
  </si>
  <si>
    <t>The sections provided solid insight into how CNNs are structured, trained, and evaluated, especially for small datasets like mine.</t>
  </si>
  <si>
    <t>quiz on Brightspace, answering detailed questions about convolution operations and CNNs in Keras.</t>
  </si>
  <si>
    <t>The quiz helped me reinforce what I learned from the course and reading materials, especially the role of layers and filters in CNNs.</t>
  </si>
  <si>
    <t>CNN Quiz Screenshot</t>
  </si>
  <si>
    <t>I trained my CNN model using training data and monitored accuracy and loss over multiple epochs.</t>
  </si>
  <si>
    <t>CNN Training Process</t>
  </si>
  <si>
    <t>Seeing the training process in action helped me understand the balance between underfitting and overfitting.</t>
  </si>
  <si>
    <t>Deep Learning Template</t>
  </si>
  <si>
    <t>I completed the LinkedIn Learning course on usability testing and uploaded the certificate to GitHub.</t>
  </si>
  <si>
    <t>Usability Testing Course Completion</t>
  </si>
  <si>
    <t>The course helped me understand how to plan user tests effectively and identify key usability issues in a structured way.</t>
  </si>
  <si>
    <t>I studied chapters from the UX Research Field Guide to learn about planning, methods, and analysis in user research.</t>
  </si>
  <si>
    <t>Learning the difference between qualitative and quantitative research gave me a better foundation to design meaningful user tests.</t>
  </si>
  <si>
    <t>UX Research Theory Study</t>
  </si>
  <si>
    <t>I completed the Brightspace quiz answering questions about user research, usability testing, and crowd-sourcing feedback.</t>
  </si>
  <si>
    <t>The quiz helped me reflect on how to apply user research methods in my creative brief project more effectively.</t>
  </si>
  <si>
    <t>User Testing Quiz Submission</t>
  </si>
  <si>
    <t xml:space="preserve">User Testing Quiz </t>
  </si>
  <si>
    <t>https://youtu.be/n8MnoJyl3W4</t>
  </si>
  <si>
    <t>I applied data augmentation using Keras to expand my dataset and retrained my CNN to evaluate its impact.</t>
  </si>
  <si>
    <t>Augmentation made my model more resilient to overfitting and improved validation results slightly.</t>
  </si>
  <si>
    <t xml:space="preserve">CNN Iteration with Augmented Data
</t>
  </si>
  <si>
    <t>I implemented transfer learning using MobileNet as the base model and trained a custom dense classifier on top.</t>
  </si>
  <si>
    <t>Transfer learning boosted performance significantly and reduced training time, showing its power for small datasets.</t>
  </si>
  <si>
    <t>CNN Iteration with Pretrained Model</t>
  </si>
  <si>
    <t>Tempalte Evidence</t>
  </si>
  <si>
    <t>https://keras.io/api/applications/mobilenet/</t>
  </si>
  <si>
    <t>CNN Iteration with Augmented Data</t>
  </si>
  <si>
    <t>I reviewed TensorFlow’s Keras Applications documentation to understand available pretrained models and their use cases.</t>
  </si>
  <si>
    <t>Exploring different model options helped me choose MobileNet for transfer learning based on performance and resource efficiency.</t>
  </si>
  <si>
    <t>Research on Transfer Learning Models</t>
  </si>
  <si>
    <t>https://www.tensorflow.org/api_docs/python/tf/keras/applications</t>
  </si>
  <si>
    <t>I studied the machine learning project lifecycle and its iterative nature using Chapter 6 from Deep Learning with Python.</t>
  </si>
  <si>
    <t>Understanding each phase helped me better structure my current project and connect it to real-world workflows.</t>
  </si>
  <si>
    <t xml:space="preserve">ML Lifecycle Theory
</t>
  </si>
  <si>
    <t>Chapter 6</t>
  </si>
  <si>
    <t>I watched the first videos from Andrew Ng’s ML in Production course, focusing on project lifecycle and data consistency issues.</t>
  </si>
  <si>
    <t>The “proof of concept to production” gap was a key insight into why many ML systems fail outside lab settings.</t>
  </si>
  <si>
    <t>ML Production – Initial Videos</t>
  </si>
  <si>
    <t>https://www.youtube.com/playlist?list=PLkDaE6sCZn6GMoA0wbpJLi3t34Gd8l0aK</t>
  </si>
  <si>
    <t>I completed the quiz on Brightspace covering ML lifecycle, data strategies, and key deployment concerns.</t>
  </si>
  <si>
    <t>Week 5 Quiz Screenshot</t>
  </si>
  <si>
    <t>Quiz – ML Project Lifecycle</t>
  </si>
  <si>
    <t>The quiz made me realize how critical consistent labeling and iterative analysis are in real-life ML projects.</t>
  </si>
  <si>
    <t>I watched lessons on deployment challenges, baseline creation, and data-centric modeling from Andrew Ng’s course.</t>
  </si>
  <si>
    <t>Modeling &amp; Deployment – ML Course</t>
  </si>
  <si>
    <t>Learning how to establish human-level performance as a baseline gave me a concrete tool to assess model limits.</t>
  </si>
  <si>
    <t>https://www.youtube.com/watch?v=YJsRD_hU4tc&amp;list=PLkDaE6sCZn6GMoA0wbpJLi3t34Gd8l0aK</t>
  </si>
  <si>
    <t>I worked on improving the image classification model by experimenting with data augmentation, transfer learning, and hyperparameter optimization.</t>
  </si>
  <si>
    <t>Experimenting with multiple techniques helped refine the model and gave insights into optimizing it for better performance.</t>
  </si>
  <si>
    <t>Image Classification Model Improvement</t>
  </si>
  <si>
    <t>I calculated the Human-Level Performance (HLP) and documented the baselines in my Jupyter notebook.</t>
  </si>
  <si>
    <t>Baseline Calculation for HLP</t>
  </si>
  <si>
    <t>alculating HLP made me realize how far my model still has to go in achieving competitive performance.</t>
  </si>
  <si>
    <t>I studied the concepts of Human-Centered AI (HCAI) and compared them to my project’s design using the insights from the provided article.</t>
  </si>
  <si>
    <t>The article provided a valuable perspective on how AI should be designed with user-centric values, and I plan to integrate this into my design.</t>
  </si>
  <si>
    <t>http://ww1.examplelink.com/?terms=create%20a%20domain%20for%20website,register%20a%20url%20address,get%20a%20free%20domain%20for%20website</t>
  </si>
  <si>
    <t>HCAI Design Reflection</t>
  </si>
  <si>
    <t>I explored how to design for AI algorithms, focusing on integration, monitoring, and maintaining algorithms post-deployment.</t>
  </si>
  <si>
    <t>Learning how to implement and monitor AI algorithms is crucial for ensuring long-term efficiency and fairness in real-world applications.</t>
  </si>
  <si>
    <t>AI Algorithm Design Process</t>
  </si>
  <si>
    <t>https://design.google/library/simulating-intelligence</t>
  </si>
  <si>
    <t>I defined each phase of the Machine Learning Project Lifecycle, focusing on a skin lesion classification model, and documented it for my creative brief project.</t>
  </si>
  <si>
    <t>Mapping out the entire ML lifecycle helped me understand how each phase is interdependent, and the importance of iteration.</t>
  </si>
  <si>
    <t>Machine Learning Lifecycle Definition</t>
  </si>
  <si>
    <t>https://towardsdatascience.com/augmenting-images-for-deep-learning-3f1ea92a891https://towardsdatascience.com/augmenting-images-for-deep-learning-3f1ea92a891c</t>
  </si>
  <si>
    <t xml:space="preserve"> completed the quiz on the Machine Learning Project Lifecycle, focusing on defining project goals, ethical considerations, and model evaluation metrics.</t>
  </si>
  <si>
    <t>The quiz reinforced my understanding of how to define and evaluate a machine learning model's performance across different stages.</t>
  </si>
  <si>
    <t>Quiz on ML Lifecycle</t>
  </si>
  <si>
    <t>Quiz ScreenShot</t>
  </si>
  <si>
    <t>I watched the video on Human-Centered AI design to better understand how user needs and ethical considerations should shape AI systems.</t>
  </si>
  <si>
    <t xml:space="preserve">Human-Centered AI Video </t>
  </si>
  <si>
    <t>I watched the video series on Machine Learning in Production to understand the lifecycle and deployment challenges of ML models.</t>
  </si>
  <si>
    <t>These videos helped clarify the practical steps involved in deploying and maintaining machine learning systems in real-world settings.</t>
  </si>
  <si>
    <t>The video gave me practical insights into balancing technology with human values, which will help refine my design process.</t>
  </si>
  <si>
    <t>https://www.youtube.com/watch?v=4W2kXBBFDw4&amp;pp=ygUYaHVtYW4gY2VudGVyZWQgYWkgZGVzaWdu0gcJCX4JAYcqIYzv</t>
  </si>
  <si>
    <t>https://www.youtube.com/watch?v=Mrv3CZNWYEg&amp;pp=ygUObWwgcHJvZHVjdGlvbiDSBwkJfgkBhyohjO8%3D</t>
  </si>
  <si>
    <t>ML in Production Video Insights</t>
  </si>
  <si>
    <t>I watched the videos on error analysis and performance auditing from the course and learned how to identify errors in machine learning models.</t>
  </si>
  <si>
    <t>Error analysis will help me find areas of improvement for my model, focusing on the most common mistakes.</t>
  </si>
  <si>
    <t>Error Analysis Video Insights</t>
  </si>
  <si>
    <t>https://youtu.be/kPtotLrFCVw</t>
  </si>
  <si>
    <t>I watched the videos explaining skewed datasets and how to select appropriate metrics like F1 score for performance evaluation.</t>
  </si>
  <si>
    <t xml:space="preserve">Skewed Dataset and Metric Selection
</t>
  </si>
  <si>
    <t xml:space="preserve">F1 score is essential for evaluating models with imbalanced datasets, which is useful for my project’s dataset.
</t>
  </si>
  <si>
    <t>The quiz helped me solidify my understanding of these concepts and how to apply them to my project.</t>
  </si>
  <si>
    <t>Quiz on Error Analysis</t>
  </si>
  <si>
    <t>I completed the quiz covering error analysis, performance auditing, and data iteration techniques.</t>
  </si>
  <si>
    <t>I performed error analysis on my image classification model, identifying and categorizing misclassified images.</t>
  </si>
  <si>
    <t>The error analysis helped me identify which types of errors are affecting model performance, guiding improvements.</t>
  </si>
  <si>
    <t xml:space="preserve">Error Analysis Insights
</t>
  </si>
  <si>
    <t>I identified and categorized errors in my misclassified images, focusing on categories like "background confusion" and "occlusions."</t>
  </si>
  <si>
    <t xml:space="preserve">Error Categories Analysis
</t>
  </si>
  <si>
    <t>Categorizing errors made it clear which aspects of my dataset and model need improvemen</t>
  </si>
  <si>
    <t>I explored the challenges of data definition in machine learning, particularly with ambiguous labeling.</t>
  </si>
  <si>
    <t xml:space="preserve"> realized that properly defining data is crucial to avoid ambiguity, especially when labels are unclear, and this affects the accuracy of machine learning models.</t>
  </si>
  <si>
    <t>Data Definition</t>
  </si>
  <si>
    <t>Watched videos on how ambiguous data labeling can cause errors in model training.</t>
  </si>
  <si>
    <t>This part made me realize how important it is to clarify labeling guidelines and how ambiguity can lead to significant confusion during training, especially when dealing with more complex datasets.</t>
  </si>
  <si>
    <t xml:space="preserve">Watched Videos on Labeling Ambiguity
</t>
  </si>
  <si>
    <t>Completed the quiz titled "DataLab Preparation (Week 6, DataLab I, Monday)" on Brightspace, covering the key concepts from the Machine Learning Project Lifecycle.</t>
  </si>
  <si>
    <t>Completed DataLab Quiz for Week 6</t>
  </si>
  <si>
    <t>The quiz helped solidify my understanding of data pipeline concepts and the challenges of labeling and organizing data in machine learning projects. It made me more aware of how these phases affect the success of a model.</t>
  </si>
  <si>
    <t>https://youtube.com/playlist?list=PLkDaE6sCZn6GMoA0wbpJLi3t34Gd8l0aK</t>
  </si>
  <si>
    <t>https://www.youtube.com/watch?v=hbqxEJisBHo&amp;list=PLkDaE6sCZn6GMoA0wbpJLi3t34Gd8l0aK</t>
  </si>
  <si>
    <t>Chapter 3 helped me understand the importance of adjusting the learning curve and identifying overfitting by analyzing loss and accuracy curves</t>
  </si>
  <si>
    <t>The scikit-learn metrics offer a more detailed approach to evaluating the performance of models, especially through tools like the confusion matrix and classification report</t>
  </si>
  <si>
    <t>Training the Reuters News Dataset Model</t>
  </si>
  <si>
    <t>Quiz</t>
  </si>
  <si>
    <t>I created the DAPS diagram and completed the task of defining the problem, aligning it with business value and consumer needs</t>
  </si>
  <si>
    <t>Problem Definition and Diagram Completion</t>
  </si>
  <si>
    <t>This task helped me clarify the purpose of the application and how it fits within the business goals and market needs, ensuring the project is well-structured and aligned.</t>
  </si>
  <si>
    <t xml:space="preserve">DAPS Diagram </t>
  </si>
  <si>
    <t>I completed the business understanding template, detailing the main idea, market research, consumer needs, and how the app will address stakeholder needs.</t>
  </si>
  <si>
    <t>This exercise gave me a clearer understanding of how the application will solve the market's problems and meet the needs of plant owners, ensuring it provides real value.</t>
  </si>
  <si>
    <t>Completed the quiz titled DataLab Preparation (Week 6, DataLab II, Thursday) on Brightspace, reflecting on the preparation for the think-aloud study.</t>
  </si>
  <si>
    <t>The quiz was helpful in solidifying my understanding of the key aspects of the study and helped me review what needs to be addressed during the think-aloud study.</t>
  </si>
  <si>
    <t>Completed DataLab Preparation Quiz</t>
  </si>
  <si>
    <t>ILO 2.4</t>
  </si>
  <si>
    <t>ILO 4,1</t>
  </si>
  <si>
    <t>Reviewed the article on free transcription tools from AI Media, analyzing different options and understanding their potential uses for transcribing audio and video content efficiently.</t>
  </si>
  <si>
    <t>The review of free transcription tools highlighted several options that can be useful for improving accessibility and creating accurate transcriptions. It helped me better understand the trade-offs between features and limitations of free tools.</t>
  </si>
  <si>
    <t xml:space="preserve">https://www.ai-media.tv/knowledge-hub/insights/free-transcription-tools/ </t>
  </si>
  <si>
    <t>https://github.com/BredaUniversityADSAI/2024-25c-fai1-adsai-CerenKurt243910/tree/main/Week%201</t>
  </si>
  <si>
    <t>https://github.com/BredaUniversityADSAI/2024-25c-fai1-adsai-CerenKurt243910/tree/main/Week%202</t>
  </si>
  <si>
    <t>https://github.com/BredaUniversityADSAI/2024-25c-fai1-adsai-CerenKurt243910/tree/main/Week%204</t>
  </si>
  <si>
    <t>https://github.com/BredaUniversityADSAI/2024-25c-fai1-adsai-CerenKurt243910/tree/main/Week%205</t>
  </si>
  <si>
    <t>Tutuorial</t>
  </si>
  <si>
    <t>14/2/25</t>
  </si>
  <si>
    <t>17/2/25</t>
  </si>
  <si>
    <t>21/2/25</t>
  </si>
  <si>
    <t>25/2/25</t>
  </si>
  <si>
    <t>13/3/2025</t>
  </si>
  <si>
    <t>14/2/2025</t>
  </si>
  <si>
    <t>17/3/25</t>
  </si>
  <si>
    <t>18/3/25</t>
  </si>
  <si>
    <t>19/3/25</t>
  </si>
  <si>
    <t>20/3/25</t>
  </si>
  <si>
    <t>21/3/25</t>
  </si>
  <si>
    <t>24/3/25</t>
  </si>
  <si>
    <t>25/3/25</t>
  </si>
  <si>
    <t>27/3/25</t>
  </si>
  <si>
    <t>Presentation</t>
  </si>
  <si>
    <t>I did Presentation about my project</t>
  </si>
  <si>
    <t>I did a Demo Video for Finalizing Human-Centered Template</t>
  </si>
  <si>
    <t xml:space="preserve">I did A/B testing for choosing my final design </t>
  </si>
  <si>
    <t xml:space="preserve">I did t-Test after A/B test responses </t>
  </si>
  <si>
    <t>T-test</t>
  </si>
  <si>
    <t>A/B test</t>
  </si>
  <si>
    <t>Demo video</t>
  </si>
  <si>
    <t>8/4l25</t>
  </si>
  <si>
    <t>https://youtu.be/6xePkn3-LME</t>
  </si>
  <si>
    <t>https://youtu.be/qGoCUpa8Qbo</t>
  </si>
  <si>
    <t>https://youtu.be/Yv13-UPZNGE</t>
  </si>
  <si>
    <t>I watched the video on "Introduction to Explainable AI" by Google Cloud to learn the basics of XAI and its importance in making AI systems more transparent and understandable.</t>
  </si>
  <si>
    <t>I watched the video on "An AI Scientist Turned a Breast Cancer Diagnosis Into a Tool to Save Lives" to see a real-world application of AI in healthcare, showcasing how deep learning-based computer vision can help diagnose cancer.</t>
  </si>
  <si>
    <t>I watched the video titled "Do We Really Want Explainable AI?" by Edward Ashford Lee to explore the arguments for and against XAI and gain a deeper understanding of its practical implications.</t>
  </si>
  <si>
    <t>https://github.com/BredaUniversityADSAI/2024-25c-fai1-adsai-CerenKurt243910/tree/main/Week%206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</si>
</sst>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quot;/&quot;m&quot;/&quot;yy"/>
    <numFmt numFmtId="165" formatCode="d&quot;-&quot;mmm&quot;-&quot;yyyy"/>
    <numFmt numFmtId="166" formatCode="d/m/yy"/>
  </numFmts>
  <fonts count="32" x14ac:knownFonts="1">
    <font>
      <sz val="10"/>
      <color rgb="FF000000"/>
      <name val="Arial"/>
    </font>
    <font>
      <sz val="10"/>
      <color rgb="FFFFFFFF"/>
      <name val="Arial"/>
      <family val="2"/>
    </font>
    <font>
      <b/>
      <sz val="10"/>
      <color rgb="FF000000"/>
      <name val="Calibri"/>
      <family val="2"/>
    </font>
    <font>
      <b/>
      <sz val="9"/>
      <color rgb="FFFFFFFF"/>
      <name val="Calibri"/>
      <family val="2"/>
    </font>
    <font>
      <b/>
      <sz val="9"/>
      <name val="Calibri"/>
      <family val="2"/>
    </font>
    <font>
      <sz val="10"/>
      <name val="Arial"/>
      <family val="2"/>
    </font>
    <font>
      <sz val="10"/>
      <color rgb="FF000000"/>
      <name val="Calibri"/>
      <family val="2"/>
    </font>
    <font>
      <i/>
      <sz val="9"/>
      <color rgb="FF000000"/>
      <name val="Calibri"/>
      <family val="2"/>
    </font>
    <font>
      <sz val="9"/>
      <name val="Calibri"/>
      <family val="2"/>
    </font>
    <font>
      <i/>
      <sz val="8"/>
      <name val="Calibri"/>
      <family val="2"/>
    </font>
    <font>
      <u/>
      <sz val="9"/>
      <color rgb="FF1155CC"/>
      <name val="Calibri"/>
      <family val="2"/>
    </font>
    <font>
      <i/>
      <sz val="10"/>
      <color rgb="FF000000"/>
      <name val="Calibri"/>
      <family val="2"/>
    </font>
    <font>
      <b/>
      <sz val="10"/>
      <name val="Arial"/>
      <family val="2"/>
    </font>
    <font>
      <sz val="8"/>
      <name val="Calibri"/>
      <family val="2"/>
    </font>
    <font>
      <sz val="8"/>
      <name val="Aharoni"/>
      <charset val="177"/>
    </font>
    <font>
      <u/>
      <sz val="10"/>
      <color theme="10"/>
      <name val="Arial"/>
      <family val="2"/>
    </font>
    <font>
      <sz val="8"/>
      <color theme="10"/>
      <name val="Calibri"/>
      <family val="2"/>
      <scheme val="minor"/>
    </font>
    <font>
      <i/>
      <sz val="8"/>
      <color rgb="FF000000"/>
      <name val="Calibri"/>
      <family val="2"/>
      <scheme val="minor"/>
    </font>
    <font>
      <sz val="8"/>
      <color rgb="FF000000"/>
      <name val="Calibri"/>
      <family val="2"/>
      <scheme val="minor"/>
    </font>
    <font>
      <u/>
      <sz val="8"/>
      <color theme="10"/>
      <name val="Calibri"/>
      <family val="2"/>
      <scheme val="minor"/>
    </font>
    <font>
      <sz val="8"/>
      <color rgb="FF000000"/>
      <name val="Arial"/>
      <family val="2"/>
    </font>
    <font>
      <u/>
      <sz val="8"/>
      <color theme="10"/>
      <name val="Arial"/>
      <family val="2"/>
    </font>
    <font>
      <i/>
      <sz val="9"/>
      <name val="Calibri"/>
      <family val="2"/>
    </font>
    <font>
      <i/>
      <sz val="9"/>
      <color rgb="FF000000"/>
      <name val="Calibri"/>
      <family val="2"/>
      <scheme val="minor"/>
    </font>
    <font>
      <sz val="8"/>
      <name val="Calibri"/>
      <family val="2"/>
      <scheme val="minor"/>
    </font>
    <font>
      <sz val="10"/>
      <color rgb="FF000000"/>
      <name val="Arial"/>
      <family val="2"/>
    </font>
    <font>
      <sz val="8"/>
      <color theme="10"/>
      <name val="Calibri Light"/>
      <family val="2"/>
      <scheme val="major"/>
    </font>
    <font>
      <sz val="8"/>
      <color theme="10"/>
      <name val="Arial"/>
      <family val="2"/>
    </font>
    <font>
      <sz val="10"/>
      <color theme="10"/>
      <name val="Calibri"/>
      <family val="2"/>
      <scheme val="minor"/>
    </font>
    <font>
      <sz val="8"/>
      <name val="Arial"/>
      <family val="2"/>
    </font>
    <font>
      <sz val="9"/>
      <name val="Calibri"/>
      <family val="2"/>
      <scheme val="minor"/>
    </font>
    <font>
      <u/>
      <sz val="10"/>
      <color theme="10"/>
      <name val="Calibri"/>
      <family val="2"/>
      <scheme val="minor"/>
    </font>
  </fonts>
  <fills count="15">
    <fill>
      <patternFill patternType="none"/>
    </fill>
    <fill>
      <patternFill patternType="gray125"/>
    </fill>
    <fill>
      <patternFill patternType="solid">
        <fgColor rgb="FF000000"/>
        <bgColor rgb="FF000000"/>
      </patternFill>
    </fill>
    <fill>
      <patternFill patternType="solid">
        <fgColor rgb="FFE6B8AF"/>
        <bgColor rgb="FFE6B8AF"/>
      </patternFill>
    </fill>
    <fill>
      <patternFill patternType="solid">
        <fgColor rgb="FFF3F3F3"/>
        <bgColor rgb="FFF3F3F3"/>
      </patternFill>
    </fill>
    <fill>
      <patternFill patternType="solid">
        <fgColor rgb="FFEFEFEF"/>
        <bgColor rgb="FFEFEFEF"/>
      </patternFill>
    </fill>
    <fill>
      <patternFill patternType="solid">
        <fgColor rgb="FFFF9900"/>
        <bgColor rgb="FFFF9900"/>
      </patternFill>
    </fill>
    <fill>
      <patternFill patternType="solid">
        <fgColor rgb="FFCCCCCC"/>
        <bgColor rgb="FFCCCCCC"/>
      </patternFill>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C9DAF8"/>
        <bgColor rgb="FFC9DAF8"/>
      </patternFill>
    </fill>
    <fill>
      <patternFill patternType="solid">
        <fgColor rgb="FFD9D2E9"/>
        <bgColor rgb="FFD9D2E9"/>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top/>
      <bottom style="thin">
        <color rgb="FF000000"/>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s>
  <cellStyleXfs count="3">
    <xf numFmtId="0" fontId="0" fillId="0" borderId="0"/>
    <xf numFmtId="0" fontId="15" fillId="0" borderId="0" applyNumberFormat="0" applyFill="0" applyBorder="0" applyAlignment="0" applyProtection="0"/>
    <xf numFmtId="0" fontId="25" fillId="0" borderId="0"/>
  </cellStyleXfs>
  <cellXfs count="141">
    <xf numFmtId="0" fontId="0" fillId="0" borderId="0" xfId="0"/>
    <xf numFmtId="0" fontId="1" fillId="2" borderId="0" xfId="0" applyFont="1" applyFill="1"/>
    <xf numFmtId="0" fontId="2" fillId="0" borderId="2" xfId="0" applyFont="1" applyBorder="1" applyAlignment="1">
      <alignment horizontal="center"/>
    </xf>
    <xf numFmtId="0" fontId="3" fillId="2" borderId="0" xfId="0" applyFont="1" applyFill="1" applyAlignment="1">
      <alignment wrapText="1"/>
    </xf>
    <xf numFmtId="0" fontId="2" fillId="0" borderId="1" xfId="0" applyFont="1" applyBorder="1" applyAlignment="1">
      <alignment horizontal="center"/>
    </xf>
    <xf numFmtId="0" fontId="3" fillId="2" borderId="0" xfId="0" applyFont="1" applyFill="1" applyAlignment="1">
      <alignment horizontal="center" wrapText="1"/>
    </xf>
    <xf numFmtId="0" fontId="6" fillId="4" borderId="4" xfId="0" applyFont="1" applyFill="1" applyBorder="1"/>
    <xf numFmtId="0" fontId="4" fillId="3" borderId="3" xfId="0" applyFont="1" applyFill="1" applyBorder="1" applyAlignment="1">
      <alignment vertical="center" wrapText="1"/>
    </xf>
    <xf numFmtId="0" fontId="6" fillId="4" borderId="0" xfId="0" applyFont="1" applyFill="1" applyAlignment="1">
      <alignment horizontal="center" vertical="top"/>
    </xf>
    <xf numFmtId="0" fontId="6" fillId="4" borderId="4" xfId="0" applyFont="1" applyFill="1" applyBorder="1" applyAlignment="1">
      <alignment horizontal="center"/>
    </xf>
    <xf numFmtId="0" fontId="4" fillId="3" borderId="1" xfId="0" applyFont="1" applyFill="1" applyBorder="1" applyAlignment="1">
      <alignment vertical="center" wrapText="1"/>
    </xf>
    <xf numFmtId="0" fontId="5" fillId="0" borderId="0" xfId="0" applyFont="1"/>
    <xf numFmtId="0" fontId="9" fillId="0" borderId="0" xfId="0" applyFont="1" applyAlignment="1">
      <alignment vertical="top"/>
    </xf>
    <xf numFmtId="0" fontId="8" fillId="0" borderId="0" xfId="0" applyFont="1" applyAlignment="1">
      <alignment horizontal="center" vertical="top"/>
    </xf>
    <xf numFmtId="0" fontId="10" fillId="0" borderId="0" xfId="0" applyFont="1" applyAlignment="1">
      <alignment horizontal="left" vertical="top"/>
    </xf>
    <xf numFmtId="0" fontId="6" fillId="5" borderId="0" xfId="0" applyFont="1" applyFill="1" applyAlignment="1">
      <alignment horizontal="center" vertical="top"/>
    </xf>
    <xf numFmtId="0" fontId="2" fillId="0" borderId="1" xfId="0" applyFont="1" applyBorder="1"/>
    <xf numFmtId="0" fontId="2" fillId="0" borderId="2" xfId="0" applyFont="1" applyBorder="1" applyAlignment="1">
      <alignment horizontal="center" vertical="top"/>
    </xf>
    <xf numFmtId="165" fontId="8" fillId="0" borderId="7" xfId="0" applyNumberFormat="1" applyFont="1" applyBorder="1" applyAlignment="1">
      <alignment vertical="top"/>
    </xf>
    <xf numFmtId="0" fontId="2" fillId="0" borderId="1" xfId="0" applyFont="1" applyBorder="1" applyAlignment="1">
      <alignment horizontal="center" vertical="top"/>
    </xf>
    <xf numFmtId="0" fontId="8" fillId="0" borderId="7" xfId="0" applyFont="1" applyBorder="1" applyAlignment="1">
      <alignment vertical="top"/>
    </xf>
    <xf numFmtId="0" fontId="6" fillId="0" borderId="0" xfId="0" applyFont="1"/>
    <xf numFmtId="0" fontId="6" fillId="0" borderId="0" xfId="0" applyFont="1" applyAlignment="1">
      <alignment horizontal="center"/>
    </xf>
    <xf numFmtId="0" fontId="8" fillId="0" borderId="7" xfId="0" applyFont="1" applyBorder="1" applyAlignment="1">
      <alignment horizontal="right" vertical="top"/>
    </xf>
    <xf numFmtId="0" fontId="8" fillId="0" borderId="7" xfId="0" applyFont="1" applyBorder="1" applyAlignment="1">
      <alignment horizontal="left" vertical="top"/>
    </xf>
    <xf numFmtId="0" fontId="4" fillId="8" borderId="1" xfId="0" applyFont="1" applyFill="1" applyBorder="1" applyAlignment="1">
      <alignment vertical="center" wrapText="1"/>
    </xf>
    <xf numFmtId="166" fontId="8" fillId="0" borderId="0" xfId="0" applyNumberFormat="1" applyFont="1" applyAlignment="1">
      <alignment horizontal="right" vertical="top"/>
    </xf>
    <xf numFmtId="0" fontId="8" fillId="0" borderId="0" xfId="0" applyFont="1" applyAlignment="1">
      <alignment vertical="top"/>
    </xf>
    <xf numFmtId="0" fontId="8" fillId="0" borderId="0" xfId="0" applyFont="1" applyAlignment="1">
      <alignment horizontal="left" vertical="top"/>
    </xf>
    <xf numFmtId="0" fontId="8" fillId="0" borderId="0" xfId="0" applyFont="1" applyAlignment="1">
      <alignment horizontal="right" vertical="top"/>
    </xf>
    <xf numFmtId="0" fontId="4" fillId="9" borderId="3" xfId="0" applyFont="1" applyFill="1" applyBorder="1" applyAlignment="1">
      <alignment vertical="center" wrapText="1"/>
    </xf>
    <xf numFmtId="0" fontId="4" fillId="9" borderId="1" xfId="0" applyFont="1" applyFill="1" applyBorder="1" applyAlignment="1">
      <alignment vertical="center" wrapText="1"/>
    </xf>
    <xf numFmtId="164" fontId="8" fillId="0" borderId="0" xfId="0" applyNumberFormat="1" applyFont="1" applyAlignment="1">
      <alignment horizontal="right" vertical="top"/>
    </xf>
    <xf numFmtId="0" fontId="4" fillId="10" borderId="3" xfId="0" applyFont="1" applyFill="1" applyBorder="1" applyAlignment="1">
      <alignment vertical="center" wrapText="1"/>
    </xf>
    <xf numFmtId="0" fontId="4" fillId="10" borderId="1" xfId="0" applyFont="1" applyFill="1" applyBorder="1" applyAlignment="1">
      <alignment vertical="center" wrapText="1"/>
    </xf>
    <xf numFmtId="0" fontId="4" fillId="11" borderId="3" xfId="0" applyFont="1" applyFill="1" applyBorder="1" applyAlignment="1">
      <alignment vertical="center" wrapText="1"/>
    </xf>
    <xf numFmtId="0" fontId="4" fillId="11" borderId="1" xfId="0" applyFont="1" applyFill="1" applyBorder="1" applyAlignment="1">
      <alignment vertical="center" wrapText="1"/>
    </xf>
    <xf numFmtId="0" fontId="4" fillId="12" borderId="3" xfId="0" applyFont="1" applyFill="1" applyBorder="1" applyAlignment="1">
      <alignment vertical="center" wrapText="1"/>
    </xf>
    <xf numFmtId="0" fontId="4" fillId="12" borderId="1" xfId="0" applyFont="1" applyFill="1" applyBorder="1" applyAlignment="1">
      <alignment vertical="center" wrapText="1"/>
    </xf>
    <xf numFmtId="0" fontId="4" fillId="13" borderId="3" xfId="0" applyFont="1" applyFill="1" applyBorder="1" applyAlignment="1">
      <alignment vertical="center" wrapText="1"/>
    </xf>
    <xf numFmtId="0" fontId="4" fillId="13" borderId="1" xfId="0" applyFont="1" applyFill="1" applyBorder="1" applyAlignment="1">
      <alignment vertical="center" wrapText="1"/>
    </xf>
    <xf numFmtId="0" fontId="4" fillId="14" borderId="8" xfId="0" applyFont="1" applyFill="1" applyBorder="1" applyAlignment="1">
      <alignment vertical="center" wrapText="1"/>
    </xf>
    <xf numFmtId="0" fontId="4" fillId="14" borderId="9" xfId="0" applyFont="1" applyFill="1" applyBorder="1" applyAlignment="1">
      <alignment vertical="center" wrapText="1"/>
    </xf>
    <xf numFmtId="0" fontId="5" fillId="0" borderId="0" xfId="0" applyFont="1" applyAlignment="1">
      <alignment horizontal="right"/>
    </xf>
    <xf numFmtId="0" fontId="8" fillId="0" borderId="0" xfId="0" applyFont="1"/>
    <xf numFmtId="0" fontId="8" fillId="0" borderId="0" xfId="0" applyFont="1" applyAlignment="1">
      <alignment horizontal="right"/>
    </xf>
    <xf numFmtId="0" fontId="4" fillId="8" borderId="3" xfId="0" applyFont="1" applyFill="1" applyBorder="1" applyAlignment="1">
      <alignment vertical="center" wrapText="1"/>
    </xf>
    <xf numFmtId="164" fontId="8" fillId="0" borderId="0" xfId="0" applyNumberFormat="1" applyFont="1" applyAlignment="1">
      <alignment horizontal="center" vertical="top"/>
    </xf>
    <xf numFmtId="164" fontId="14" fillId="0" borderId="0" xfId="0" applyNumberFormat="1" applyFont="1" applyAlignment="1">
      <alignment horizontal="center" vertical="center"/>
    </xf>
    <xf numFmtId="166" fontId="14" fillId="0" borderId="0" xfId="0" applyNumberFormat="1" applyFont="1" applyAlignment="1">
      <alignment horizontal="center" vertical="center"/>
    </xf>
    <xf numFmtId="0" fontId="8" fillId="0" borderId="0" xfId="0" applyFont="1" applyAlignment="1">
      <alignment horizontal="center" vertical="center"/>
    </xf>
    <xf numFmtId="0" fontId="9" fillId="0" borderId="0" xfId="0" applyFont="1" applyAlignment="1">
      <alignment horizontal="center" vertical="center"/>
    </xf>
    <xf numFmtId="0" fontId="13" fillId="0" borderId="0" xfId="0" applyFont="1" applyAlignment="1">
      <alignment horizontal="left" vertical="center"/>
    </xf>
    <xf numFmtId="0" fontId="8" fillId="0" borderId="7" xfId="0" applyFont="1" applyBorder="1" applyAlignment="1">
      <alignment horizontal="center" vertical="center"/>
    </xf>
    <xf numFmtId="0" fontId="13" fillId="0" borderId="0" xfId="0" applyFont="1" applyAlignment="1">
      <alignment vertical="center"/>
    </xf>
    <xf numFmtId="0" fontId="13" fillId="0" borderId="0" xfId="0" applyFont="1"/>
    <xf numFmtId="0" fontId="13" fillId="0" borderId="0" xfId="0" applyFont="1" applyAlignment="1">
      <alignment horizontal="center" vertical="top"/>
    </xf>
    <xf numFmtId="0" fontId="13" fillId="0" borderId="0" xfId="0" applyFont="1" applyAlignment="1">
      <alignment horizontal="center" vertical="center"/>
    </xf>
    <xf numFmtId="0" fontId="13" fillId="0" borderId="0" xfId="0" applyFont="1" applyAlignment="1">
      <alignment horizontal="left" vertical="center" wrapText="1"/>
    </xf>
    <xf numFmtId="0" fontId="16" fillId="0" borderId="0" xfId="1" applyFont="1" applyAlignment="1">
      <alignment horizontal="center" vertical="center"/>
    </xf>
    <xf numFmtId="0" fontId="13" fillId="0" borderId="0" xfId="0" applyFont="1" applyAlignment="1">
      <alignment horizontal="center" vertical="center" wrapText="1"/>
    </xf>
    <xf numFmtId="0" fontId="18" fillId="0" borderId="0" xfId="0" applyFont="1" applyAlignment="1">
      <alignment horizontal="left" vertical="center"/>
    </xf>
    <xf numFmtId="0" fontId="19" fillId="0" borderId="0" xfId="1" applyFont="1" applyAlignment="1">
      <alignment horizontal="center" vertical="center"/>
    </xf>
    <xf numFmtId="0" fontId="9" fillId="0" borderId="0" xfId="0" applyFont="1" applyAlignment="1">
      <alignment horizontal="left" vertical="top"/>
    </xf>
    <xf numFmtId="0" fontId="8" fillId="0" borderId="0" xfId="0" applyFont="1" applyAlignment="1">
      <alignment horizontal="left" vertical="center"/>
    </xf>
    <xf numFmtId="0" fontId="20" fillId="0" borderId="0" xfId="0" applyFont="1" applyAlignment="1">
      <alignment horizontal="center" vertical="center"/>
    </xf>
    <xf numFmtId="0" fontId="21" fillId="0" borderId="0" xfId="1" applyFont="1" applyAlignment="1">
      <alignment horizontal="center" vertical="center"/>
    </xf>
    <xf numFmtId="0" fontId="19" fillId="0" borderId="0" xfId="1" applyFont="1" applyAlignment="1">
      <alignment horizontal="center" vertical="top"/>
    </xf>
    <xf numFmtId="0" fontId="17" fillId="0" borderId="0" xfId="0" applyFont="1" applyAlignment="1">
      <alignment horizontal="left" vertical="top"/>
    </xf>
    <xf numFmtId="0" fontId="13" fillId="0" borderId="7" xfId="0" applyFont="1" applyBorder="1" applyAlignment="1">
      <alignment horizontal="center" vertical="center"/>
    </xf>
    <xf numFmtId="0" fontId="20" fillId="0" borderId="0" xfId="0" applyFont="1"/>
    <xf numFmtId="0" fontId="7" fillId="14" borderId="3" xfId="0" applyFont="1" applyFill="1" applyBorder="1"/>
    <xf numFmtId="0" fontId="5" fillId="0" borderId="3" xfId="0" applyFont="1" applyBorder="1"/>
    <xf numFmtId="0" fontId="5" fillId="0" borderId="8" xfId="0" applyFont="1" applyBorder="1"/>
    <xf numFmtId="0" fontId="7" fillId="14" borderId="3" xfId="0" applyFont="1" applyFill="1" applyBorder="1" applyAlignment="1">
      <alignment vertical="center"/>
    </xf>
    <xf numFmtId="0" fontId="7" fillId="11" borderId="5" xfId="0" applyFont="1" applyFill="1" applyBorder="1" applyAlignment="1">
      <alignment vertical="center"/>
    </xf>
    <xf numFmtId="0" fontId="5" fillId="0" borderId="2" xfId="0" applyFont="1" applyBorder="1"/>
    <xf numFmtId="0" fontId="5" fillId="0" borderId="6" xfId="0" applyFont="1" applyBorder="1"/>
    <xf numFmtId="0" fontId="4" fillId="12" borderId="5" xfId="0" applyFont="1" applyFill="1" applyBorder="1" applyAlignment="1">
      <alignment vertical="center" wrapText="1"/>
    </xf>
    <xf numFmtId="0" fontId="7" fillId="12" borderId="5" xfId="0" applyFont="1" applyFill="1" applyBorder="1" applyAlignment="1">
      <alignment vertical="center"/>
    </xf>
    <xf numFmtId="0" fontId="4" fillId="13" borderId="5" xfId="0" applyFont="1" applyFill="1" applyBorder="1" applyAlignment="1">
      <alignment vertical="center" wrapText="1"/>
    </xf>
    <xf numFmtId="0" fontId="7" fillId="13" borderId="5" xfId="0" applyFont="1" applyFill="1" applyBorder="1" applyAlignment="1">
      <alignment vertical="center"/>
    </xf>
    <xf numFmtId="0" fontId="7" fillId="10" borderId="5" xfId="0" applyFont="1" applyFill="1" applyBorder="1" applyAlignment="1">
      <alignment vertical="center"/>
    </xf>
    <xf numFmtId="0" fontId="4" fillId="11" borderId="5" xfId="0" applyFont="1" applyFill="1" applyBorder="1" applyAlignment="1">
      <alignment vertical="center" wrapText="1"/>
    </xf>
    <xf numFmtId="0" fontId="4" fillId="14" borderId="5" xfId="0" applyFont="1" applyFill="1" applyBorder="1" applyAlignment="1">
      <alignment wrapText="1"/>
    </xf>
    <xf numFmtId="0" fontId="7" fillId="8" borderId="5" xfId="0" applyFont="1" applyFill="1" applyBorder="1" applyAlignment="1">
      <alignment vertical="center"/>
    </xf>
    <xf numFmtId="0" fontId="4" fillId="9" borderId="5" xfId="0" applyFont="1" applyFill="1" applyBorder="1" applyAlignment="1">
      <alignment vertical="center" wrapText="1"/>
    </xf>
    <xf numFmtId="0" fontId="7" fillId="9" borderId="5" xfId="0" applyFont="1" applyFill="1" applyBorder="1" applyAlignment="1">
      <alignment vertical="center"/>
    </xf>
    <xf numFmtId="0" fontId="4" fillId="10" borderId="5" xfId="0" applyFont="1" applyFill="1" applyBorder="1" applyAlignment="1">
      <alignment vertical="center" wrapText="1"/>
    </xf>
    <xf numFmtId="0" fontId="4" fillId="3" borderId="3" xfId="0" applyFont="1" applyFill="1" applyBorder="1" applyAlignment="1">
      <alignment horizontal="left" vertical="center" wrapText="1"/>
    </xf>
    <xf numFmtId="0" fontId="7" fillId="3" borderId="5" xfId="0" applyFont="1" applyFill="1" applyBorder="1" applyAlignment="1">
      <alignment vertical="center"/>
    </xf>
    <xf numFmtId="0" fontId="4" fillId="8" borderId="3" xfId="0" applyFont="1" applyFill="1" applyBorder="1" applyAlignment="1">
      <alignment vertical="center" wrapText="1"/>
    </xf>
    <xf numFmtId="0" fontId="5" fillId="7" borderId="0" xfId="0" applyFont="1" applyFill="1" applyAlignment="1">
      <alignment horizontal="center" vertical="center" wrapText="1"/>
    </xf>
    <xf numFmtId="0" fontId="11" fillId="6" borderId="0" xfId="0" applyFont="1" applyFill="1" applyAlignment="1">
      <alignment vertical="top" wrapText="1"/>
    </xf>
    <xf numFmtId="0" fontId="0" fillId="0" borderId="0" xfId="0"/>
    <xf numFmtId="0" fontId="9" fillId="0" borderId="0" xfId="0" applyFont="1" applyAlignment="1">
      <alignment vertical="center"/>
    </xf>
    <xf numFmtId="0" fontId="22" fillId="0" borderId="0" xfId="0" applyFont="1" applyAlignment="1">
      <alignment horizontal="left" vertical="center"/>
    </xf>
    <xf numFmtId="0" fontId="22" fillId="0" borderId="0" xfId="0" applyFont="1" applyAlignment="1">
      <alignment horizontal="left" vertical="center" wrapText="1"/>
    </xf>
    <xf numFmtId="0" fontId="23" fillId="0" borderId="0" xfId="0" applyFont="1" applyAlignment="1">
      <alignment horizontal="left" vertical="center"/>
    </xf>
    <xf numFmtId="0" fontId="24" fillId="0" borderId="0" xfId="0" applyFont="1" applyAlignment="1">
      <alignment horizontal="left" vertical="top"/>
    </xf>
    <xf numFmtId="0" fontId="16" fillId="0" borderId="0" xfId="1" applyFont="1" applyAlignment="1">
      <alignment horizontal="left" vertical="top"/>
    </xf>
    <xf numFmtId="0" fontId="8" fillId="0" borderId="0" xfId="0" applyFont="1" applyAlignment="1">
      <alignment horizontal="center"/>
    </xf>
    <xf numFmtId="0" fontId="20" fillId="0" borderId="0" xfId="0" applyFont="1" applyAlignment="1">
      <alignment horizontal="center"/>
    </xf>
    <xf numFmtId="0" fontId="8" fillId="0" borderId="7" xfId="0" applyFont="1" applyBorder="1" applyAlignment="1">
      <alignment horizontal="center"/>
    </xf>
    <xf numFmtId="0" fontId="24" fillId="0" borderId="0" xfId="0" applyFont="1" applyAlignment="1">
      <alignment horizontal="left" vertical="center"/>
    </xf>
    <xf numFmtId="0" fontId="16" fillId="0" borderId="0" xfId="1" applyFont="1" applyAlignment="1">
      <alignment horizontal="left" vertical="center"/>
    </xf>
    <xf numFmtId="0" fontId="16" fillId="0" borderId="0" xfId="1" applyFont="1" applyAlignment="1">
      <alignment vertical="center"/>
    </xf>
    <xf numFmtId="0" fontId="15" fillId="0" borderId="0" xfId="1" applyAlignment="1">
      <alignment horizontal="left" vertical="center"/>
    </xf>
    <xf numFmtId="0" fontId="26" fillId="0" borderId="0" xfId="1" applyFont="1" applyAlignment="1">
      <alignment horizontal="center" vertical="center"/>
    </xf>
    <xf numFmtId="0" fontId="27" fillId="0" borderId="0" xfId="1" applyFont="1" applyAlignment="1">
      <alignment horizontal="center" vertical="center"/>
    </xf>
    <xf numFmtId="0" fontId="28" fillId="0" borderId="0" xfId="1" applyFont="1" applyAlignment="1">
      <alignment horizontal="center" vertical="center"/>
    </xf>
    <xf numFmtId="0" fontId="18" fillId="0" borderId="0" xfId="0" applyFont="1" applyAlignment="1">
      <alignment vertical="center"/>
    </xf>
    <xf numFmtId="0" fontId="0" fillId="0" borderId="0" xfId="0" applyAlignment="1">
      <alignment horizontal="center" vertical="center"/>
    </xf>
    <xf numFmtId="0" fontId="15" fillId="0" borderId="0" xfId="1" applyAlignment="1">
      <alignment vertical="top"/>
    </xf>
    <xf numFmtId="164" fontId="8" fillId="0" borderId="0" xfId="2" applyNumberFormat="1" applyFont="1" applyAlignment="1">
      <alignment horizontal="right" vertical="top"/>
    </xf>
    <xf numFmtId="164" fontId="8" fillId="0" borderId="0" xfId="2" applyNumberFormat="1" applyFont="1" applyAlignment="1">
      <alignment horizontal="right" vertical="top"/>
    </xf>
    <xf numFmtId="164" fontId="8" fillId="0" borderId="0" xfId="2" applyNumberFormat="1" applyFont="1" applyAlignment="1">
      <alignment horizontal="right" vertical="top"/>
    </xf>
    <xf numFmtId="164" fontId="8" fillId="0" borderId="0" xfId="2" applyNumberFormat="1" applyFont="1" applyAlignment="1">
      <alignment horizontal="right" vertical="top"/>
    </xf>
    <xf numFmtId="164" fontId="8" fillId="0" borderId="0" xfId="2" applyNumberFormat="1" applyFont="1" applyAlignment="1">
      <alignment horizontal="right" vertical="top"/>
    </xf>
    <xf numFmtId="166" fontId="8" fillId="0" borderId="0" xfId="2" applyNumberFormat="1" applyFont="1" applyAlignment="1">
      <alignment horizontal="right" vertical="top"/>
    </xf>
    <xf numFmtId="166" fontId="8" fillId="0" borderId="0" xfId="2" applyNumberFormat="1" applyFont="1" applyAlignment="1">
      <alignment horizontal="right" vertical="top"/>
    </xf>
    <xf numFmtId="164" fontId="8" fillId="0" borderId="0" xfId="2" applyNumberFormat="1" applyFont="1" applyAlignment="1">
      <alignment horizontal="right" vertical="top"/>
    </xf>
    <xf numFmtId="164" fontId="8" fillId="0" borderId="0" xfId="2" applyNumberFormat="1" applyFont="1" applyAlignment="1">
      <alignment horizontal="right" vertical="top"/>
    </xf>
    <xf numFmtId="164" fontId="8" fillId="0" borderId="0" xfId="2" applyNumberFormat="1" applyFont="1" applyAlignment="1">
      <alignment horizontal="right" vertical="top"/>
    </xf>
    <xf numFmtId="164" fontId="8" fillId="0" borderId="0" xfId="2" applyNumberFormat="1" applyFont="1" applyAlignment="1">
      <alignment horizontal="right" vertical="top"/>
    </xf>
    <xf numFmtId="164" fontId="8" fillId="0" borderId="0" xfId="2" applyNumberFormat="1" applyFont="1" applyAlignment="1">
      <alignment horizontal="right" vertical="top"/>
    </xf>
    <xf numFmtId="164" fontId="8" fillId="0" borderId="0" xfId="2" applyNumberFormat="1" applyFont="1" applyAlignment="1">
      <alignment horizontal="right" vertical="top"/>
    </xf>
    <xf numFmtId="164" fontId="8" fillId="0" borderId="0" xfId="2" applyNumberFormat="1" applyFont="1" applyAlignment="1">
      <alignment horizontal="right" vertical="top"/>
    </xf>
    <xf numFmtId="164" fontId="8" fillId="0" borderId="0" xfId="2" applyNumberFormat="1" applyFont="1" applyAlignment="1">
      <alignment horizontal="right" vertical="top"/>
    </xf>
    <xf numFmtId="164" fontId="8" fillId="0" borderId="0" xfId="2" applyNumberFormat="1" applyFont="1" applyAlignment="1">
      <alignment horizontal="right" vertical="top"/>
    </xf>
    <xf numFmtId="164" fontId="8" fillId="0" borderId="0" xfId="2" applyNumberFormat="1" applyFont="1" applyAlignment="1">
      <alignment horizontal="right" vertical="top"/>
    </xf>
    <xf numFmtId="164" fontId="8" fillId="0" borderId="0" xfId="2" applyNumberFormat="1" applyFont="1" applyAlignment="1">
      <alignment horizontal="right" vertical="top"/>
    </xf>
    <xf numFmtId="164" fontId="8" fillId="0" borderId="0" xfId="2" applyNumberFormat="1" applyFont="1" applyAlignment="1">
      <alignment horizontal="right" vertical="top"/>
    </xf>
    <xf numFmtId="164" fontId="8" fillId="0" borderId="0" xfId="2" applyNumberFormat="1" applyFont="1" applyAlignment="1">
      <alignment horizontal="right" vertical="top"/>
    </xf>
    <xf numFmtId="164" fontId="8" fillId="0" borderId="0" xfId="2" applyNumberFormat="1" applyFont="1" applyAlignment="1">
      <alignment horizontal="right" vertical="top"/>
    </xf>
    <xf numFmtId="164" fontId="8" fillId="0" borderId="0" xfId="2" applyNumberFormat="1" applyFont="1" applyAlignment="1">
      <alignment horizontal="right" vertical="top"/>
    </xf>
    <xf numFmtId="164" fontId="8" fillId="0" borderId="0" xfId="2" applyNumberFormat="1" applyFont="1" applyAlignment="1">
      <alignment horizontal="right" vertical="top"/>
    </xf>
    <xf numFmtId="0" fontId="15" fillId="0" borderId="0" xfId="1" applyAlignment="1">
      <alignment horizontal="left" vertical="top"/>
    </xf>
    <xf numFmtId="0" fontId="30" fillId="0" borderId="0" xfId="0" applyFont="1" applyAlignment="1">
      <alignment horizontal="center" vertical="center"/>
    </xf>
    <xf numFmtId="0" fontId="31" fillId="0" borderId="0" xfId="1" applyFont="1" applyAlignment="1">
      <alignment horizontal="center" vertical="center"/>
    </xf>
    <xf numFmtId="0" fontId="18" fillId="0" borderId="0" xfId="0" applyFont="1"/>
  </cellXfs>
  <cellStyles count="3">
    <cellStyle name="Hyperlink" xfId="1" builtinId="8"/>
    <cellStyle name="Normal" xfId="0" builtinId="0"/>
    <cellStyle name="Normal 2" xfId="2" xr:uid="{10DD555F-EEBD-422E-963E-AB22B2257DBF}"/>
  </cellStyles>
  <dxfs count="15">
    <dxf>
      <fill>
        <patternFill patternType="solid">
          <fgColor rgb="FFFCE8B2"/>
          <bgColor rgb="FFFCE8B2"/>
        </patternFill>
      </fill>
    </dxf>
    <dxf>
      <fill>
        <patternFill patternType="solid">
          <fgColor rgb="FFF4C7C3"/>
          <bgColor rgb="FFF4C7C3"/>
        </patternFill>
      </fill>
    </dxf>
    <dxf>
      <fill>
        <patternFill patternType="solid">
          <fgColor rgb="FFFCE8B2"/>
          <bgColor rgb="FFFCE8B2"/>
        </patternFill>
      </fill>
    </dxf>
    <dxf>
      <fill>
        <patternFill patternType="solid">
          <fgColor rgb="FFF4C7C3"/>
          <bgColor rgb="FFF4C7C3"/>
        </patternFill>
      </fill>
    </dxf>
    <dxf>
      <fill>
        <patternFill patternType="solid">
          <fgColor rgb="FFFCE8B2"/>
          <bgColor rgb="FFFCE8B2"/>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6B26B"/>
          <bgColor rgb="FFF6B26B"/>
        </patternFill>
      </fill>
    </dxf>
    <dxf>
      <fill>
        <patternFill patternType="solid">
          <fgColor rgb="FFFFD966"/>
          <bgColor rgb="FFFFD966"/>
        </patternFill>
      </fill>
    </dxf>
    <dxf>
      <font>
        <b/>
        <color rgb="FF000000"/>
      </font>
      <fill>
        <patternFill patternType="solid">
          <fgColor rgb="FF93C47D"/>
          <bgColor rgb="FF93C47D"/>
        </patternFill>
      </fill>
    </dxf>
    <dxf>
      <font>
        <b/>
        <color rgb="FFFFFFFF"/>
      </font>
      <fill>
        <patternFill patternType="solid">
          <fgColor rgb="FFFF0000"/>
          <bgColor rgb="FFFF0000"/>
        </patternFill>
      </fill>
    </dxf>
    <dxf>
      <fill>
        <patternFill patternType="solid">
          <fgColor rgb="FFD0E0E3"/>
          <bgColor rgb="FFD0E0E3"/>
        </patternFill>
      </fill>
    </dxf>
    <dxf>
      <fill>
        <patternFill patternType="solid">
          <fgColor rgb="FFFFF2CC"/>
          <bgColor rgb="FFFFF2CC"/>
        </patternFill>
      </fill>
    </dxf>
    <dxf>
      <fill>
        <patternFill patternType="solid">
          <fgColor rgb="FFFCE5CD"/>
          <bgColor rgb="FFFCE5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github.com/BredaUniversityADSAI/2024-25c-fai1-adsai-CerenKurt243910/blob/main/Week%202/proof.png" TargetMode="External"/><Relationship Id="rId21" Type="http://schemas.openxmlformats.org/officeDocument/2006/relationships/hyperlink" Target="https://axa-rev-research.github.io/fairness-compass/src/main/webapp/?chrome=0&amp;grid=0&amp;toolbar=0&amp;p=props&amp;title=Fairness%20Compass" TargetMode="External"/><Relationship Id="rId42" Type="http://schemas.openxmlformats.org/officeDocument/2006/relationships/hyperlink" Target="https://github.com/BredaUniversityADSAI/2024-25c-fai1-adsai-CerenKurt243910/blob/main/Week%203/CertificateOfCompletion_Interaction%20Design%20Interface%20.pdf" TargetMode="External"/><Relationship Id="rId47" Type="http://schemas.openxmlformats.org/officeDocument/2006/relationships/hyperlink" Target="https://youtu.be/IHZwWFHWa-w" TargetMode="External"/><Relationship Id="rId63" Type="http://schemas.openxmlformats.org/officeDocument/2006/relationships/hyperlink" Target="https://www.youtube.com/watch?v=YJsRD_hU4tc&amp;list=PLkDaE6sCZn6GMoA0wbpJLi3t34Gd8l0aK" TargetMode="External"/><Relationship Id="rId68" Type="http://schemas.openxmlformats.org/officeDocument/2006/relationships/hyperlink" Target="http://ww1.examplelink.com/?terms=create%20a%20domain%20for%20website,register%20a%20url%20address,get%20a%20free%20domain%20for%20website" TargetMode="External"/><Relationship Id="rId84" Type="http://schemas.openxmlformats.org/officeDocument/2006/relationships/hyperlink" Target="https://www.ai-media.tv/knowledge-hub/insights/free-transcription-tools/" TargetMode="External"/><Relationship Id="rId89" Type="http://schemas.openxmlformats.org/officeDocument/2006/relationships/hyperlink" Target="https://github.com/BredaUniversityADSAI/2024-25c-fai1-adsai-CerenKurt243910/blob/main/Deliverables/Ceren_Kurt_243910_Deep-Learning-Template.ipynb" TargetMode="External"/><Relationship Id="rId16" Type="http://schemas.openxmlformats.org/officeDocument/2006/relationships/hyperlink" Target="https://github.com/BredaUniversityADSAI/2024-25c-fai1-adsai-CerenKurt243910/tree/main/Week%202/blog%20screenshots" TargetMode="External"/><Relationship Id="rId11" Type="http://schemas.openxmlformats.org/officeDocument/2006/relationships/hyperlink" Target="https://github.com/BredaUniversityADSAI/2024-25c-fai1-adsai-CerenKurt243910/blob/main/Week%201/Screenshot%202025-03-16%20164449.png" TargetMode="External"/><Relationship Id="rId32" Type="http://schemas.openxmlformats.org/officeDocument/2006/relationships/hyperlink" Target="https://github.com/BredaUniversityADSAI/2024-25c-fai1-adsai-CerenKurt243910/blob/main/Week%203/California%20Housing%20Price%20Prediction%20using%20Neural%20Networks.ipynb" TargetMode="External"/><Relationship Id="rId37" Type="http://schemas.openxmlformats.org/officeDocument/2006/relationships/hyperlink" Target="https://scikit-learn.org/stable/modules/model_evaluation.html" TargetMode="External"/><Relationship Id="rId53" Type="http://schemas.openxmlformats.org/officeDocument/2006/relationships/hyperlink" Target="https://github.com/BredaUniversityADSAI/2024-25c-fai1-adsai-CerenKurt243910/blob/main/Week%204/Screenshot%202025-04-10%20215257.png" TargetMode="External"/><Relationship Id="rId58" Type="http://schemas.openxmlformats.org/officeDocument/2006/relationships/hyperlink" Target="https://github.com/BredaUniversityADSAI/2024-25c-fai1-adsai-CerenKurt243910/blob/main/Ceren_Kurt_243910_Deep-Learning-Template.ipynb" TargetMode="External"/><Relationship Id="rId74" Type="http://schemas.openxmlformats.org/officeDocument/2006/relationships/hyperlink" Target="https://youtu.be/kPtotLrFCVw" TargetMode="External"/><Relationship Id="rId79" Type="http://schemas.openxmlformats.org/officeDocument/2006/relationships/hyperlink" Target="https://github.com/BredaUniversityADSAI/2024-25c-fai1-adsai-CerenKurt243910/blob/main/Week%206/quix.png" TargetMode="External"/><Relationship Id="rId5" Type="http://schemas.openxmlformats.org/officeDocument/2006/relationships/hyperlink" Target="https://www.youtube.com/watch?v=rf83vRxLWFQ" TargetMode="External"/><Relationship Id="rId90" Type="http://schemas.openxmlformats.org/officeDocument/2006/relationships/hyperlink" Target="https://github.com/BredaUniversityADSAI/2024-25c-fai1-adsai-CerenKurt243910/blob/main/Week%206/Diagram.drawio" TargetMode="External"/><Relationship Id="rId95" Type="http://schemas.openxmlformats.org/officeDocument/2006/relationships/hyperlink" Target="https://youtu.be/Yv13-UPZNGE" TargetMode="External"/><Relationship Id="rId22" Type="http://schemas.openxmlformats.org/officeDocument/2006/relationships/hyperlink" Target="https://github.com/BredaUniversityADSAI/2024-25c-fai1-adsai-CerenKurt243910/tree/main/Week%202/Deep%20Learning%20With%20Python%20Chapters%20Screenshot" TargetMode="External"/><Relationship Id="rId27" Type="http://schemas.openxmlformats.org/officeDocument/2006/relationships/hyperlink" Target="https://github.com/BredaUniversityADSAI/2024-25c-fai1-adsai-CerenKurt243910/blob/main/Week%202/Data_Preprocessing.ipynb" TargetMode="External"/><Relationship Id="rId43" Type="http://schemas.openxmlformats.org/officeDocument/2006/relationships/hyperlink" Target="https://github.com/BredaUniversityADSAI/2024-25c-fai1-adsai-CerenKurt243910/blob/main/Week%203/CertificateOfCompletion_UX%20Foundations%20Interaction%20Design.pdf" TargetMode="External"/><Relationship Id="rId48" Type="http://schemas.openxmlformats.org/officeDocument/2006/relationships/hyperlink" Target="https://github.com/BredaUniversityADSAI/2024-25c-fai1-adsai-CerenKurt243910/blob/main/Week%203/quiz.png" TargetMode="External"/><Relationship Id="rId64" Type="http://schemas.openxmlformats.org/officeDocument/2006/relationships/hyperlink" Target="https://github.com/BredaUniversityADSAI/2024-25c-fai1-adsai-CerenKurt243910/tree/main/Week%205/Chapter%206%20screenshots" TargetMode="External"/><Relationship Id="rId69" Type="http://schemas.openxmlformats.org/officeDocument/2006/relationships/hyperlink" Target="https://design.google/library/simulating-intelligence" TargetMode="External"/><Relationship Id="rId80" Type="http://schemas.openxmlformats.org/officeDocument/2006/relationships/hyperlink" Target="https://github.com/BredaUniversityADSAI/2024-25c-fai1-adsai-CerenKurt243910/blob/main/Ceren_Kurt_243910_Deep-Learning-Template.ipynb" TargetMode="External"/><Relationship Id="rId85" Type="http://schemas.openxmlformats.org/officeDocument/2006/relationships/hyperlink" Target="https://github.com/BredaUniversityADSAI/2024-25c-fai1-adsai-CerenKurt243910/tree/main/Week%201" TargetMode="External"/><Relationship Id="rId3" Type="http://schemas.openxmlformats.org/officeDocument/2006/relationships/hyperlink" Target="https://algorithmwatch.org/en/plant-identifying-apps/?utm_source=chatgpt.com" TargetMode="External"/><Relationship Id="rId12" Type="http://schemas.openxmlformats.org/officeDocument/2006/relationships/hyperlink" Target="https://github.com/BredaUniversityADSAI/2024-25c-fai1-adsai-CerenKurt243910/blob/main/Week%201/quiz.png" TargetMode="External"/><Relationship Id="rId17" Type="http://schemas.openxmlformats.org/officeDocument/2006/relationships/hyperlink" Target="https://github.com/BredaUniversityADSAI/2024-25c-fai1-adsai-CerenKurt243910/tree/main/Week%202/Tutorial%20Screenshots" TargetMode="External"/><Relationship Id="rId25" Type="http://schemas.openxmlformats.org/officeDocument/2006/relationships/hyperlink" Target="https://github.com/BredaUniversityADSAI/2024-25c-fai1-adsai-CerenKurt243910/blob/main/Week%202/uploaded_packages.ipynb" TargetMode="External"/><Relationship Id="rId33" Type="http://schemas.openxmlformats.org/officeDocument/2006/relationships/hyperlink" Target="https://github.com/BredaUniversityADSAI/2024-25c-fai1-adsai-CerenKurt243910/tree/main/Week%203/Chapter%203%20Screenshots" TargetMode="External"/><Relationship Id="rId38" Type="http://schemas.openxmlformats.org/officeDocument/2006/relationships/hyperlink" Target="https://github.com/BredaUniversityADSAI/2024-25c-fai1-adsai-CerenKurt243910/blob/main/Week%203/Model_Evaluation_Metrics_and_Splits.ipynb" TargetMode="External"/><Relationship Id="rId46" Type="http://schemas.openxmlformats.org/officeDocument/2006/relationships/hyperlink" Target="https://youtu.be/aircAruvnKk" TargetMode="External"/><Relationship Id="rId59" Type="http://schemas.openxmlformats.org/officeDocument/2006/relationships/hyperlink" Target="https://github.com/BredaUniversityADSAI/2024-25c-fai1-adsai-CerenKurt243910/blob/main/Ceren_Kurt_243910_Deep-Learning-Template.ipynb" TargetMode="External"/><Relationship Id="rId67" Type="http://schemas.openxmlformats.org/officeDocument/2006/relationships/hyperlink" Target="https://github.com/BredaUniversityADSAI/2024-25c-fai1-adsai-CerenKurt243910/blob/main/Ceren_Kurt_243910_Deep-Learning-Template.ipynb" TargetMode="External"/><Relationship Id="rId20" Type="http://schemas.openxmlformats.org/officeDocument/2006/relationships/hyperlink" Target="https://github.com/BredaUniversityADSAI/2024-25c-fai1-adsai-CerenKurt243910/blob/main/Week%202/fairness_metrics_analysis.ipynb" TargetMode="External"/><Relationship Id="rId41" Type="http://schemas.openxmlformats.org/officeDocument/2006/relationships/hyperlink" Target="https://help.figma.com/hc/en-us/sections/4405269443991-Figma-for-Beginners-tutorial-4-parts-" TargetMode="External"/><Relationship Id="rId54" Type="http://schemas.openxmlformats.org/officeDocument/2006/relationships/hyperlink" Target="https://github.com/BredaUniversityADSAI/2024-25c-fai1-adsai-CerenKurt243910/blob/main/Ceren_Kurt_243910_Deep-Learning-Template.ipynb" TargetMode="External"/><Relationship Id="rId62" Type="http://schemas.openxmlformats.org/officeDocument/2006/relationships/hyperlink" Target="https://www.youtube.com/playlist?list=PLkDaE6sCZn6GMoA0wbpJLi3t34Gd8l0aK" TargetMode="External"/><Relationship Id="rId70" Type="http://schemas.openxmlformats.org/officeDocument/2006/relationships/hyperlink" Target="https://towardsdatascience.com/augmenting-images-for-deep-learning-3f1ea92a891https:/towardsdatascience.com/augmenting-images-for-deep-learning-3f1ea92a891c" TargetMode="External"/><Relationship Id="rId75" Type="http://schemas.openxmlformats.org/officeDocument/2006/relationships/hyperlink" Target="https://www.youtube.com/playlist?list=PLkDaE6sCZn6GMoA0wbpJLi3t34Gd8l0aK" TargetMode="External"/><Relationship Id="rId83" Type="http://schemas.openxmlformats.org/officeDocument/2006/relationships/hyperlink" Target="https://github.com/BredaUniversityADSAI/2024-25c-fai1-adsai-CerenKurt243910/blob/main/Deliverables/Business%20Understanding%20Template.pdf" TargetMode="External"/><Relationship Id="rId88" Type="http://schemas.openxmlformats.org/officeDocument/2006/relationships/hyperlink" Target="https://github.com/BredaUniversityADSAI/2024-25c-fai1-adsai-CerenKurt243910/tree/main/Week%205" TargetMode="External"/><Relationship Id="rId91" Type="http://schemas.openxmlformats.org/officeDocument/2006/relationships/hyperlink" Target="https://github.com/BredaUniversityADSAI/2024-25c-fai1-adsai-CerenKurt243910/blob/main/Week%206/quiz2.png" TargetMode="External"/><Relationship Id="rId96" Type="http://schemas.openxmlformats.org/officeDocument/2006/relationships/hyperlink" Target="https://github.com/BredaUniversityADSAI/2024-25c-fai1-adsai-CerenKurt243910/tree/main/Week%206" TargetMode="External"/><Relationship Id="rId1" Type="http://schemas.openxmlformats.org/officeDocument/2006/relationships/hyperlink" Target="https://plantnet.org/en/about/" TargetMode="External"/><Relationship Id="rId6" Type="http://schemas.openxmlformats.org/officeDocument/2006/relationships/hyperlink" Target="https://medium.com/google-design/human-centered-machine-learning-a770d10562cd" TargetMode="External"/><Relationship Id="rId15" Type="http://schemas.openxmlformats.org/officeDocument/2006/relationships/hyperlink" Target="https://github.com/BredaUniversityADSAI/2024-25c-fai1-adsai-CerenKurt243910/blob/main/Week%202/quiz%20screenshot.png" TargetMode="External"/><Relationship Id="rId23" Type="http://schemas.openxmlformats.org/officeDocument/2006/relationships/hyperlink" Target="https://github.com/BredaUniversityADSAI/2024-25c-fai1-adsai-CerenKurt243910/blob/main/Week%202/certificate.pdf" TargetMode="External"/><Relationship Id="rId28" Type="http://schemas.openxmlformats.org/officeDocument/2006/relationships/hyperlink" Target="https://github.com/BredaUniversityADSAI/2024-25c-fai1-adsai-CerenKurt243910/blob/main/Week%202/W2-DL2-MLP-Student-Notebook_Ceren_Kurt.ipynb" TargetMode="External"/><Relationship Id="rId36" Type="http://schemas.openxmlformats.org/officeDocument/2006/relationships/hyperlink" Target="https://keras.io/api/metrics/" TargetMode="External"/><Relationship Id="rId49" Type="http://schemas.openxmlformats.org/officeDocument/2006/relationships/hyperlink" Target="https://github.com/BredaUniversityADSAI/2024-25c-fai1-adsai-CerenKurt243910/blob/main/Week%203/W3-DL1-MLP-Student-Notebook.ipynb" TargetMode="External"/><Relationship Id="rId57" Type="http://schemas.openxmlformats.org/officeDocument/2006/relationships/hyperlink" Target="https://youtu.be/n8MnoJyl3W4" TargetMode="External"/><Relationship Id="rId10" Type="http://schemas.openxmlformats.org/officeDocument/2006/relationships/hyperlink" Target="https://github.com/BredaUniversityADSAI/2024-25c-fai1-adsai-CerenKurt243910/blob/main/Week%201/CertificateOfCompletion_Interaction%20Design%20Flow.pdf" TargetMode="External"/><Relationship Id="rId31" Type="http://schemas.openxmlformats.org/officeDocument/2006/relationships/hyperlink" Target="https://github.com/BredaUniversityADSAI/2024-25c-fai1-adsai-CerenKurt243910/blob/main/Week%203/reuters_model_training.ipynb" TargetMode="External"/><Relationship Id="rId44" Type="http://schemas.openxmlformats.org/officeDocument/2006/relationships/hyperlink" Target="https://github.com/BredaUniversityADSAI/2024-25c-fai1-adsai-CerenKurt243910/blob/main/Week%203/Screenshot%202025-04-07%20215028.png" TargetMode="External"/><Relationship Id="rId52" Type="http://schemas.openxmlformats.org/officeDocument/2006/relationships/hyperlink" Target="https://github.com/BredaUniversityADSAI/2024-25c-fai1-adsai-CerenKurt243910/tree/main/Week%204/deep%20learning%20book%20chapter%20%20screenshots" TargetMode="External"/><Relationship Id="rId60" Type="http://schemas.openxmlformats.org/officeDocument/2006/relationships/hyperlink" Target="https://keras.io/api/applications/mobilenet/" TargetMode="External"/><Relationship Id="rId65" Type="http://schemas.openxmlformats.org/officeDocument/2006/relationships/hyperlink" Target="https://github.com/BredaUniversityADSAI/2024-25c-fai1-adsai-CerenKurt243910/blob/main/Week%205/Screenshot%202025-04-11%20000110.png" TargetMode="External"/><Relationship Id="rId73" Type="http://schemas.openxmlformats.org/officeDocument/2006/relationships/hyperlink" Target="https://www.youtube.com/watch?v=Mrv3CZNWYEg&amp;pp=ygUObWwgcHJvZHVjdGlvbiDSBwkJfgkBhyohjO8%3D" TargetMode="External"/><Relationship Id="rId78" Type="http://schemas.openxmlformats.org/officeDocument/2006/relationships/hyperlink" Target="https://www.youtube.com/watch?v=hbqxEJisBHo&amp;list=PLkDaE6sCZn6GMoA0wbpJLi3t34Gd8l0aK" TargetMode="External"/><Relationship Id="rId81" Type="http://schemas.openxmlformats.org/officeDocument/2006/relationships/hyperlink" Target="https://github.com/BredaUniversityADSAI/2024-25c-fai1-adsai-CerenKurt243910/blob/main/Ceren_Kurt_243910_Deep-Learning-Template.ipynb" TargetMode="External"/><Relationship Id="rId86" Type="http://schemas.openxmlformats.org/officeDocument/2006/relationships/hyperlink" Target="https://github.com/BredaUniversityADSAI/2024-25c-fai1-adsai-CerenKurt243910/tree/main/Week%202" TargetMode="External"/><Relationship Id="rId94" Type="http://schemas.openxmlformats.org/officeDocument/2006/relationships/hyperlink" Target="https://youtu.be/qGoCUpa8Qbo" TargetMode="External"/><Relationship Id="rId4" Type="http://schemas.openxmlformats.org/officeDocument/2006/relationships/hyperlink" Target="https://github.com/BredaUniversityADSAI/2024-25c-fai1-adsai-CerenKurt243910/tree/main/Week%201/DAPS%20Diagram%20Papers" TargetMode="External"/><Relationship Id="rId9" Type="http://schemas.openxmlformats.org/officeDocument/2006/relationships/hyperlink" Target="https://youtu.be/cmBf1fBRXms" TargetMode="External"/><Relationship Id="rId13" Type="http://schemas.openxmlformats.org/officeDocument/2006/relationships/hyperlink" Target="https://github.com/BredaUniversityADSAI/2024-25c-fai1-adsai-CerenKurt243910/blob/main/Ceren_Kurt_243910_Deep-Learning-Template.ipynb" TargetMode="External"/><Relationship Id="rId18" Type="http://schemas.openxmlformats.org/officeDocument/2006/relationships/hyperlink" Target="https://github.com/BredaUniversityADSAI/2024-25c-fai1-adsai-CerenKurt243910/blob/main/Week%202/group_fairness_infographic.pdf" TargetMode="External"/><Relationship Id="rId39" Type="http://schemas.openxmlformats.org/officeDocument/2006/relationships/hyperlink" Target="https://github.com/BredaUniversityADSAI/2024-25c-fai1-adsai-CerenKurt243910/blob/main/Week%203/W3-DL1-MLP-Student-Notebook.ipynb" TargetMode="External"/><Relationship Id="rId34" Type="http://schemas.openxmlformats.org/officeDocument/2006/relationships/hyperlink" Target="https://github.com/BredaUniversityADSAI/2024-25c-fai1-adsai-CerenKurt243910/blob/main/Week%203/Screenshot%202025-04-06%20220448.png" TargetMode="External"/><Relationship Id="rId50" Type="http://schemas.openxmlformats.org/officeDocument/2006/relationships/hyperlink" Target="https://github.com/BredaUniversityADSAI/2024-25c-fai1-adsai-CerenKurt243910/commit/ea56385b002eef36fde2262c2e38fbf434d920f8" TargetMode="External"/><Relationship Id="rId55" Type="http://schemas.openxmlformats.org/officeDocument/2006/relationships/hyperlink" Target="https://github.com/BredaUniversityADSAI/2024-25c-fai1-adsai-CerenKurt243910/blob/main/Week%204/CertificateOfCompletion_UX%20Foundations%20Usability%20Tes" TargetMode="External"/><Relationship Id="rId76" Type="http://schemas.openxmlformats.org/officeDocument/2006/relationships/hyperlink" Target="https://github.com/BredaUniversityADSAI/2024-25c-fai1-adsai-CerenKurt243910/blob/main/Week%205/QUIZ.png" TargetMode="External"/><Relationship Id="rId97" Type="http://schemas.openxmlformats.org/officeDocument/2006/relationships/printerSettings" Target="../printerSettings/printerSettings1.bin"/><Relationship Id="rId7" Type="http://schemas.openxmlformats.org/officeDocument/2006/relationships/hyperlink" Target="https://youtu.be/rSngHyD44OY" TargetMode="External"/><Relationship Id="rId71" Type="http://schemas.openxmlformats.org/officeDocument/2006/relationships/hyperlink" Target="https://github.com/BredaUniversityADSAI/2024-25c-fai1-adsai-CerenKurt243910/blob/main/Week%205/Screenshot%202025-04-11%20003018.png" TargetMode="External"/><Relationship Id="rId92" Type="http://schemas.openxmlformats.org/officeDocument/2006/relationships/hyperlink" Target="https://github.com/BredaUniversityADSAI/2024-25c-fai1-adsai-CerenKurt243910/blob/main/Week%206/quiz2.png" TargetMode="External"/><Relationship Id="rId2" Type="http://schemas.openxmlformats.org/officeDocument/2006/relationships/hyperlink" Target="https://play.google.com/store/apps/details?hl=tr&amp;id=cn.danatech.xingseus&amp;utm_source=chatgpt.com&amp;pli=1" TargetMode="External"/><Relationship Id="rId29" Type="http://schemas.openxmlformats.org/officeDocument/2006/relationships/hyperlink" Target="https://scikit-learn.org/stable/modules/generated/sklearn.preprocessing.Normalizer.html" TargetMode="External"/><Relationship Id="rId24" Type="http://schemas.openxmlformats.org/officeDocument/2006/relationships/hyperlink" Target="https://github.com/BredaUniversityADSAI/2024-25c-fai1-adsai-CerenKurt243910/blob/main/Week%202/quiz%20submission.png" TargetMode="External"/><Relationship Id="rId40" Type="http://schemas.openxmlformats.org/officeDocument/2006/relationships/hyperlink" Target="https://github.com/BredaUniversityADSAI/2024-25c-fai1-adsai-CerenKurt243910/blob/main/Ceren_Kurt_243910_Deep-Learning-Template.ipynb" TargetMode="External"/><Relationship Id="rId45" Type="http://schemas.openxmlformats.org/officeDocument/2006/relationships/hyperlink" Target="https://github.com/BredaUniversityADSAI/2024-25c-fai1-adsai-CerenKurt243910/blob/main/Week%203/BotanIQ.fig" TargetMode="External"/><Relationship Id="rId66" Type="http://schemas.openxmlformats.org/officeDocument/2006/relationships/hyperlink" Target="https://github.com/BredaUniversityADSAI/2024-25c-fai1-adsai-CerenKurt243910/blob/main/Ceren_Kurt_243910_Deep-Learning-Template.ipynb" TargetMode="External"/><Relationship Id="rId87" Type="http://schemas.openxmlformats.org/officeDocument/2006/relationships/hyperlink" Target="https://github.com/BredaUniversityADSAI/2024-25c-fai1-adsai-CerenKurt243910/tree/main/Week%204" TargetMode="External"/><Relationship Id="rId61" Type="http://schemas.openxmlformats.org/officeDocument/2006/relationships/hyperlink" Target="https://www.tensorflow.org/api_docs/python/tf/keras/applications" TargetMode="External"/><Relationship Id="rId82" Type="http://schemas.openxmlformats.org/officeDocument/2006/relationships/hyperlink" Target="https://github.com/BredaUniversityADSAI/2024-25c-fai1-adsai-CerenKurt243910/blob/main/Week%201/DAPS_CerenKurt.drawio%20(1).svg" TargetMode="External"/><Relationship Id="rId19" Type="http://schemas.openxmlformats.org/officeDocument/2006/relationships/hyperlink" Target="https://github.com/BredaUniversityADSAI/2024-25c-fai1-adsai-CerenKurt243910/blob/main/Responsible-AI-Template_Ceren_Kurt_243910.ipynb" TargetMode="External"/><Relationship Id="rId14" Type="http://schemas.openxmlformats.org/officeDocument/2006/relationships/hyperlink" Target="https://github.com/BredaUniversityADSAI/2024-25c-fai1-adsai-CerenKurt243910/blob/main/Responsible-AI-Template_Ceren_Kurt_243910.ipynb" TargetMode="External"/><Relationship Id="rId30" Type="http://schemas.openxmlformats.org/officeDocument/2006/relationships/hyperlink" Target="https://github.com/BredaUniversityADSAI/2024-25c-fai1-adsai-CerenKurt243910/blob/main/Week%203/IMDB_Review_Classification_Neural_Network.ipynb" TargetMode="External"/><Relationship Id="rId35" Type="http://schemas.openxmlformats.org/officeDocument/2006/relationships/hyperlink" Target="https://youtu.be/LbX4X71-TFI" TargetMode="External"/><Relationship Id="rId56" Type="http://schemas.openxmlformats.org/officeDocument/2006/relationships/hyperlink" Target="https://github.com/BredaUniversityADSAI/2024-25c-fai1-adsai-CerenKurt243910/blob/main/Week%204/Screenshot%202025-04-10%20223333.png" TargetMode="External"/><Relationship Id="rId77" Type="http://schemas.openxmlformats.org/officeDocument/2006/relationships/hyperlink" Target="https://youtube.com/playlist?list=PLkDaE6sCZn6GMoA0wbpJLi3t34Gd8l0aK" TargetMode="External"/><Relationship Id="rId8" Type="http://schemas.openxmlformats.org/officeDocument/2006/relationships/hyperlink" Target="https://github.com/BredaUniversityADSAI/2024-25c-fai1-adsai-CerenKurt243910/tree/main/Week%201/Extended%20Mind%20Paper%20Screenshots" TargetMode="External"/><Relationship Id="rId51" Type="http://schemas.openxmlformats.org/officeDocument/2006/relationships/hyperlink" Target="https://github.com/BredaUniversityADSAI/2024-25c-fai1-adsai-CerenKurt243910/blob/main/Week%204/certificate%20(1).pdf" TargetMode="External"/><Relationship Id="rId72" Type="http://schemas.openxmlformats.org/officeDocument/2006/relationships/hyperlink" Target="https://www.youtube.com/watch?v=4W2kXBBFDw4&amp;pp=ygUYaHVtYW4gY2VudGVyZWQgYWkgZGVzaWdu0gcJCX4JAYcqIYzv" TargetMode="External"/><Relationship Id="rId93" Type="http://schemas.openxmlformats.org/officeDocument/2006/relationships/hyperlink" Target="https://youtu.be/6xePkn3-LM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K140"/>
  <sheetViews>
    <sheetView tabSelected="1" zoomScale="86" zoomScaleNormal="73" workbookViewId="0">
      <pane ySplit="1" topLeftCell="A2" activePane="bottomLeft" state="frozen"/>
      <selection pane="bottomLeft" activeCell="B124" sqref="B124:K124"/>
    </sheetView>
  </sheetViews>
  <sheetFormatPr defaultColWidth="14.44140625" defaultRowHeight="15" customHeight="1" x14ac:dyDescent="0.25"/>
  <cols>
    <col min="1" max="1" width="9.77734375" customWidth="1"/>
    <col min="2" max="2" width="11.33203125" customWidth="1"/>
    <col min="3" max="3" width="16.33203125" customWidth="1"/>
    <col min="4" max="4" width="43.44140625" customWidth="1"/>
    <col min="5" max="6" width="15.44140625" customWidth="1"/>
    <col min="7" max="7" width="8.6640625" customWidth="1"/>
    <col min="8" max="8" width="8.44140625" customWidth="1"/>
    <col min="9" max="9" width="6.44140625" customWidth="1"/>
    <col min="10" max="10" width="18.44140625" customWidth="1"/>
    <col min="11" max="11" width="81.33203125" customWidth="1"/>
  </cols>
  <sheetData>
    <row r="1" spans="1:11" ht="24" x14ac:dyDescent="0.25">
      <c r="A1" s="3" t="s">
        <v>0</v>
      </c>
      <c r="B1" s="3" t="s">
        <v>1</v>
      </c>
      <c r="C1" s="3" t="s">
        <v>2</v>
      </c>
      <c r="D1" s="3" t="s">
        <v>3</v>
      </c>
      <c r="E1" s="5" t="s">
        <v>4</v>
      </c>
      <c r="F1" s="5" t="s">
        <v>5</v>
      </c>
      <c r="G1" s="5" t="s">
        <v>6</v>
      </c>
      <c r="H1" s="5" t="s">
        <v>7</v>
      </c>
      <c r="I1" s="5" t="s">
        <v>8</v>
      </c>
      <c r="J1" s="5" t="s">
        <v>9</v>
      </c>
      <c r="K1" s="3" t="s">
        <v>10</v>
      </c>
    </row>
    <row r="2" spans="1:11" ht="18.75" customHeight="1" x14ac:dyDescent="0.25">
      <c r="A2" s="89" cm="1">
        <f t="array" aca="1" ref="A2" ca="1">+N2+A2:L+A2:Q22</f>
        <v>0</v>
      </c>
      <c r="B2" s="72"/>
      <c r="C2" s="72"/>
      <c r="D2" s="72"/>
      <c r="E2" s="72"/>
      <c r="F2" s="72"/>
      <c r="G2" s="72"/>
      <c r="H2" s="72"/>
      <c r="I2" s="72"/>
      <c r="J2" s="72"/>
      <c r="K2" s="72"/>
    </row>
    <row r="3" spans="1:11" ht="13.2" x14ac:dyDescent="0.25">
      <c r="A3" s="7" t="s">
        <v>11</v>
      </c>
      <c r="B3" s="90" t="s">
        <v>12</v>
      </c>
      <c r="C3" s="76"/>
      <c r="D3" s="76"/>
      <c r="E3" s="76"/>
      <c r="F3" s="76"/>
      <c r="G3" s="76"/>
      <c r="H3" s="76"/>
      <c r="I3" s="76"/>
      <c r="J3" s="76"/>
      <c r="K3" s="77"/>
    </row>
    <row r="4" spans="1:11" ht="27.75" customHeight="1" x14ac:dyDescent="0.25">
      <c r="A4" s="10" t="s">
        <v>13</v>
      </c>
      <c r="B4" s="90" t="s">
        <v>14</v>
      </c>
      <c r="C4" s="76"/>
      <c r="D4" s="76"/>
      <c r="E4" s="76"/>
      <c r="F4" s="76"/>
      <c r="G4" s="76"/>
      <c r="H4" s="76"/>
      <c r="I4" s="76"/>
      <c r="J4" s="76"/>
      <c r="K4" s="77"/>
    </row>
    <row r="5" spans="1:11" ht="13.2" x14ac:dyDescent="0.25">
      <c r="A5" s="48" t="s">
        <v>68</v>
      </c>
      <c r="B5" s="27" t="s">
        <v>48</v>
      </c>
      <c r="C5" s="96" t="s">
        <v>69</v>
      </c>
      <c r="D5" s="52" t="s">
        <v>70</v>
      </c>
      <c r="E5" s="57" t="s">
        <v>54</v>
      </c>
      <c r="F5" s="13"/>
      <c r="G5" s="50">
        <v>0</v>
      </c>
      <c r="H5" s="50">
        <v>0</v>
      </c>
      <c r="I5" s="50">
        <f t="shared" ref="I5:I22" si="0">H5-G5</f>
        <v>0</v>
      </c>
      <c r="J5" s="14"/>
      <c r="K5" s="113" t="s">
        <v>421</v>
      </c>
    </row>
    <row r="6" spans="1:11" ht="12" customHeight="1" x14ac:dyDescent="0.25">
      <c r="A6" s="114">
        <v>45698</v>
      </c>
      <c r="B6" s="27" t="s">
        <v>48</v>
      </c>
      <c r="C6" s="97" t="s">
        <v>94</v>
      </c>
      <c r="D6" s="52" t="s">
        <v>85</v>
      </c>
      <c r="E6" s="60" t="s">
        <v>47</v>
      </c>
      <c r="F6" s="13" t="s">
        <v>62</v>
      </c>
      <c r="G6" s="50">
        <v>1</v>
      </c>
      <c r="H6" s="50">
        <v>1</v>
      </c>
      <c r="I6" s="50">
        <f t="shared" si="0"/>
        <v>0</v>
      </c>
      <c r="J6" s="59" t="s">
        <v>87</v>
      </c>
      <c r="K6" s="58" t="s">
        <v>86</v>
      </c>
    </row>
    <row r="7" spans="1:11" ht="13.2" x14ac:dyDescent="0.25">
      <c r="A7" s="47"/>
      <c r="B7" s="27" t="s">
        <v>48</v>
      </c>
      <c r="C7" s="96" t="s">
        <v>95</v>
      </c>
      <c r="D7" s="52" t="s">
        <v>88</v>
      </c>
      <c r="E7" s="57" t="s">
        <v>47</v>
      </c>
      <c r="F7" s="13" t="s">
        <v>416</v>
      </c>
      <c r="G7" s="50">
        <v>1</v>
      </c>
      <c r="H7" s="50">
        <v>1</v>
      </c>
      <c r="I7" s="50">
        <f t="shared" si="0"/>
        <v>0</v>
      </c>
      <c r="J7" s="59" t="s">
        <v>90</v>
      </c>
      <c r="K7" s="58" t="s">
        <v>89</v>
      </c>
    </row>
    <row r="8" spans="1:11" ht="13.2" x14ac:dyDescent="0.25">
      <c r="A8" s="32"/>
      <c r="B8" s="27" t="s">
        <v>48</v>
      </c>
      <c r="C8" s="96" t="s">
        <v>96</v>
      </c>
      <c r="D8" s="52" t="s">
        <v>91</v>
      </c>
      <c r="E8" s="57" t="s">
        <v>47</v>
      </c>
      <c r="F8" s="13" t="s">
        <v>62</v>
      </c>
      <c r="G8" s="50">
        <v>1</v>
      </c>
      <c r="H8" s="50">
        <v>1</v>
      </c>
      <c r="I8" s="50">
        <f t="shared" si="0"/>
        <v>0</v>
      </c>
      <c r="J8" s="59" t="s">
        <v>92</v>
      </c>
      <c r="K8" s="58" t="s">
        <v>93</v>
      </c>
    </row>
    <row r="9" spans="1:11" ht="13.2" x14ac:dyDescent="0.25">
      <c r="A9" s="32"/>
      <c r="B9" s="27" t="s">
        <v>48</v>
      </c>
      <c r="C9" s="96" t="s">
        <v>106</v>
      </c>
      <c r="D9" s="52" t="s">
        <v>105</v>
      </c>
      <c r="E9" s="57" t="s">
        <v>47</v>
      </c>
      <c r="F9" s="13" t="s">
        <v>62</v>
      </c>
      <c r="G9" s="50">
        <v>1</v>
      </c>
      <c r="H9" s="50">
        <v>1</v>
      </c>
      <c r="I9" s="50">
        <f t="shared" si="0"/>
        <v>0</v>
      </c>
      <c r="J9" s="59" t="s">
        <v>108</v>
      </c>
      <c r="K9" s="52" t="s">
        <v>107</v>
      </c>
    </row>
    <row r="10" spans="1:11" ht="13.2" x14ac:dyDescent="0.25">
      <c r="A10" s="32"/>
      <c r="B10" s="27" t="s">
        <v>48</v>
      </c>
      <c r="C10" s="96" t="s">
        <v>98</v>
      </c>
      <c r="D10" s="52" t="s">
        <v>97</v>
      </c>
      <c r="E10" s="57" t="s">
        <v>57</v>
      </c>
      <c r="F10" s="13" t="s">
        <v>62</v>
      </c>
      <c r="G10" s="50">
        <v>2</v>
      </c>
      <c r="H10" s="50">
        <v>2</v>
      </c>
      <c r="I10" s="50">
        <f t="shared" si="0"/>
        <v>0</v>
      </c>
      <c r="J10" s="59" t="s">
        <v>100</v>
      </c>
      <c r="K10" s="58" t="s">
        <v>99</v>
      </c>
    </row>
    <row r="11" spans="1:11" ht="13.2" x14ac:dyDescent="0.25">
      <c r="A11" s="115">
        <v>45963</v>
      </c>
      <c r="B11" s="27" t="s">
        <v>48</v>
      </c>
      <c r="C11" s="96" t="s">
        <v>103</v>
      </c>
      <c r="D11" s="52" t="s">
        <v>101</v>
      </c>
      <c r="E11" s="57" t="s">
        <v>57</v>
      </c>
      <c r="F11" s="13" t="s">
        <v>63</v>
      </c>
      <c r="G11" s="50">
        <v>3</v>
      </c>
      <c r="H11" s="50">
        <v>3.5</v>
      </c>
      <c r="I11" s="50">
        <f t="shared" si="0"/>
        <v>0.5</v>
      </c>
      <c r="J11" s="109" t="s">
        <v>104</v>
      </c>
      <c r="K11" s="58" t="s">
        <v>102</v>
      </c>
    </row>
    <row r="12" spans="1:11" ht="13.2" x14ac:dyDescent="0.25">
      <c r="A12" s="32"/>
      <c r="B12" s="27" t="s">
        <v>48</v>
      </c>
      <c r="C12" s="96" t="s">
        <v>113</v>
      </c>
      <c r="D12" s="54" t="s">
        <v>111</v>
      </c>
      <c r="E12" s="57" t="s">
        <v>57</v>
      </c>
      <c r="F12" s="13" t="s">
        <v>62</v>
      </c>
      <c r="G12" s="50">
        <v>0.5</v>
      </c>
      <c r="H12" s="50">
        <v>0.5</v>
      </c>
      <c r="I12" s="50">
        <f t="shared" si="0"/>
        <v>0</v>
      </c>
      <c r="J12" s="59" t="s">
        <v>109</v>
      </c>
      <c r="K12" s="58" t="s">
        <v>112</v>
      </c>
    </row>
    <row r="13" spans="1:11" ht="13.2" x14ac:dyDescent="0.25">
      <c r="A13" s="32"/>
      <c r="B13" s="27" t="s">
        <v>48</v>
      </c>
      <c r="C13" s="96" t="s">
        <v>115</v>
      </c>
      <c r="D13" s="52" t="s">
        <v>114</v>
      </c>
      <c r="E13" s="57" t="s">
        <v>57</v>
      </c>
      <c r="F13" s="13" t="s">
        <v>62</v>
      </c>
      <c r="G13" s="50">
        <v>1</v>
      </c>
      <c r="H13" s="50">
        <v>1</v>
      </c>
      <c r="I13" s="50">
        <f t="shared" si="0"/>
        <v>0</v>
      </c>
      <c r="J13" s="59" t="s">
        <v>110</v>
      </c>
      <c r="K13" s="58" t="s">
        <v>116</v>
      </c>
    </row>
    <row r="14" spans="1:11" ht="13.2" x14ac:dyDescent="0.25">
      <c r="A14" s="116">
        <v>45993</v>
      </c>
      <c r="B14" s="27" t="s">
        <v>48</v>
      </c>
      <c r="C14" s="96" t="s">
        <v>120</v>
      </c>
      <c r="D14" s="52" t="s">
        <v>117</v>
      </c>
      <c r="E14" s="57" t="s">
        <v>57</v>
      </c>
      <c r="F14" s="13" t="s">
        <v>62</v>
      </c>
      <c r="G14" s="13">
        <v>0.5</v>
      </c>
      <c r="H14" s="13">
        <v>0.5</v>
      </c>
      <c r="I14" s="13">
        <f t="shared" si="0"/>
        <v>0</v>
      </c>
      <c r="J14" s="59" t="s">
        <v>119</v>
      </c>
      <c r="K14" s="52" t="s">
        <v>118</v>
      </c>
    </row>
    <row r="15" spans="1:11" ht="13.2" x14ac:dyDescent="0.25">
      <c r="A15" s="32"/>
      <c r="B15" s="27" t="s">
        <v>48</v>
      </c>
      <c r="C15" s="96" t="s">
        <v>123</v>
      </c>
      <c r="D15" s="52" t="s">
        <v>121</v>
      </c>
      <c r="E15" s="57" t="s">
        <v>47</v>
      </c>
      <c r="F15" s="13" t="s">
        <v>62</v>
      </c>
      <c r="G15" s="50">
        <v>1</v>
      </c>
      <c r="H15" s="50">
        <v>1</v>
      </c>
      <c r="I15" s="50">
        <f t="shared" si="0"/>
        <v>0</v>
      </c>
      <c r="J15" s="59" t="s">
        <v>124</v>
      </c>
      <c r="K15" s="58" t="s">
        <v>122</v>
      </c>
    </row>
    <row r="16" spans="1:11" ht="13.2" x14ac:dyDescent="0.25">
      <c r="A16" s="32"/>
      <c r="B16" s="27" t="s">
        <v>48</v>
      </c>
      <c r="C16" s="96" t="s">
        <v>125</v>
      </c>
      <c r="D16" s="52" t="s">
        <v>126</v>
      </c>
      <c r="E16" s="57" t="s">
        <v>57</v>
      </c>
      <c r="F16" s="13" t="s">
        <v>64</v>
      </c>
      <c r="G16" s="50">
        <v>0.5</v>
      </c>
      <c r="H16" s="50">
        <v>0.5</v>
      </c>
      <c r="I16" s="50">
        <f t="shared" si="0"/>
        <v>0</v>
      </c>
      <c r="J16" s="59" t="s">
        <v>132</v>
      </c>
      <c r="K16" s="52" t="s">
        <v>127</v>
      </c>
    </row>
    <row r="17" spans="1:11" ht="13.2" x14ac:dyDescent="0.25">
      <c r="A17" s="117">
        <v>45701</v>
      </c>
      <c r="B17" s="27" t="s">
        <v>48</v>
      </c>
      <c r="C17" s="98" t="s">
        <v>131</v>
      </c>
      <c r="D17" s="52" t="s">
        <v>128</v>
      </c>
      <c r="E17" s="57" t="s">
        <v>57</v>
      </c>
      <c r="F17" s="13" t="s">
        <v>65</v>
      </c>
      <c r="G17" s="50">
        <v>0.5</v>
      </c>
      <c r="H17" s="50">
        <v>0.5</v>
      </c>
      <c r="I17" s="50">
        <v>0</v>
      </c>
      <c r="J17" s="59" t="s">
        <v>130</v>
      </c>
      <c r="K17" s="58" t="s">
        <v>129</v>
      </c>
    </row>
    <row r="18" spans="1:11" ht="13.2" x14ac:dyDescent="0.25">
      <c r="A18" s="32"/>
      <c r="B18" s="27" t="s">
        <v>48</v>
      </c>
      <c r="C18" s="96" t="s">
        <v>135</v>
      </c>
      <c r="D18" s="52" t="s">
        <v>133</v>
      </c>
      <c r="E18" s="56" t="s">
        <v>57</v>
      </c>
      <c r="F18" s="13" t="s">
        <v>62</v>
      </c>
      <c r="G18" s="50">
        <v>2</v>
      </c>
      <c r="H18" s="50">
        <v>2.5</v>
      </c>
      <c r="I18" s="50">
        <v>0.5</v>
      </c>
      <c r="J18" s="59" t="s">
        <v>136</v>
      </c>
      <c r="K18" s="52" t="s">
        <v>134</v>
      </c>
    </row>
    <row r="19" spans="1:11" ht="13.2" x14ac:dyDescent="0.25">
      <c r="A19" s="32"/>
      <c r="B19" s="27" t="s">
        <v>48</v>
      </c>
      <c r="C19" s="96" t="s">
        <v>137</v>
      </c>
      <c r="D19" s="52" t="s">
        <v>138</v>
      </c>
      <c r="E19" s="56" t="s">
        <v>57</v>
      </c>
      <c r="F19" s="13" t="s">
        <v>62</v>
      </c>
      <c r="G19" s="50">
        <v>3</v>
      </c>
      <c r="H19" s="50">
        <v>2.5</v>
      </c>
      <c r="I19" s="50">
        <v>0</v>
      </c>
      <c r="J19" s="62" t="s">
        <v>140</v>
      </c>
      <c r="K19" s="61" t="s">
        <v>139</v>
      </c>
    </row>
    <row r="20" spans="1:11" ht="13.2" x14ac:dyDescent="0.25">
      <c r="A20" s="118" t="s">
        <v>426</v>
      </c>
      <c r="B20" s="27" t="s">
        <v>48</v>
      </c>
      <c r="C20" s="96" t="s">
        <v>146</v>
      </c>
      <c r="D20" s="52" t="s">
        <v>145</v>
      </c>
      <c r="E20" s="56" t="s">
        <v>57</v>
      </c>
      <c r="F20" s="13" t="s">
        <v>63</v>
      </c>
      <c r="G20" s="50">
        <v>1</v>
      </c>
      <c r="H20" s="50">
        <v>1</v>
      </c>
      <c r="I20" s="50">
        <v>0</v>
      </c>
      <c r="J20" s="62" t="s">
        <v>148</v>
      </c>
      <c r="K20" s="61" t="s">
        <v>147</v>
      </c>
    </row>
    <row r="21" spans="1:11" ht="13.2" x14ac:dyDescent="0.25">
      <c r="A21" s="32"/>
      <c r="B21" s="27" t="s">
        <v>48</v>
      </c>
      <c r="C21" s="96" t="s">
        <v>141</v>
      </c>
      <c r="D21" s="52" t="s">
        <v>142</v>
      </c>
      <c r="E21" s="56" t="s">
        <v>57</v>
      </c>
      <c r="F21" s="13" t="s">
        <v>62</v>
      </c>
      <c r="G21" s="50">
        <v>4</v>
      </c>
      <c r="H21" s="50">
        <v>4</v>
      </c>
      <c r="I21" s="50">
        <v>0</v>
      </c>
      <c r="J21" s="62" t="s">
        <v>144</v>
      </c>
      <c r="K21" s="58" t="s">
        <v>143</v>
      </c>
    </row>
    <row r="22" spans="1:11" ht="13.2" x14ac:dyDescent="0.25">
      <c r="A22" s="18"/>
      <c r="B22" s="20"/>
      <c r="C22" s="20"/>
      <c r="D22" s="20"/>
      <c r="E22" s="69" t="s">
        <v>15</v>
      </c>
      <c r="F22" s="20"/>
      <c r="G22" s="53">
        <f>SUM(G5:G21)</f>
        <v>23</v>
      </c>
      <c r="H22" s="53">
        <f>SUM(H5:H21)</f>
        <v>23.5</v>
      </c>
      <c r="I22" s="53">
        <f t="shared" si="0"/>
        <v>0.5</v>
      </c>
      <c r="J22" s="24"/>
      <c r="K22" s="20"/>
    </row>
    <row r="23" spans="1:11" ht="18.75" customHeight="1" x14ac:dyDescent="0.25">
      <c r="A23" s="91" t="s">
        <v>16</v>
      </c>
      <c r="B23" s="72"/>
      <c r="C23" s="72"/>
      <c r="D23" s="72"/>
      <c r="E23" s="72"/>
      <c r="F23" s="72"/>
      <c r="G23" s="72"/>
      <c r="H23" s="72"/>
      <c r="I23" s="72"/>
      <c r="J23" s="72"/>
      <c r="K23" s="72"/>
    </row>
    <row r="24" spans="1:11" ht="13.2" x14ac:dyDescent="0.25">
      <c r="A24" s="46" t="s">
        <v>11</v>
      </c>
      <c r="B24" s="85" t="s">
        <v>12</v>
      </c>
      <c r="C24" s="76"/>
      <c r="D24" s="76"/>
      <c r="E24" s="76"/>
      <c r="F24" s="76"/>
      <c r="G24" s="76"/>
      <c r="H24" s="76"/>
      <c r="I24" s="76"/>
      <c r="J24" s="76"/>
      <c r="K24" s="77"/>
    </row>
    <row r="25" spans="1:11" ht="27.75" customHeight="1" x14ac:dyDescent="0.25">
      <c r="A25" s="25" t="s">
        <v>13</v>
      </c>
      <c r="B25" s="85" t="s">
        <v>17</v>
      </c>
      <c r="C25" s="76"/>
      <c r="D25" s="76"/>
      <c r="E25" s="76"/>
      <c r="F25" s="76"/>
      <c r="G25" s="76"/>
      <c r="H25" s="76"/>
      <c r="I25" s="76"/>
      <c r="J25" s="76"/>
      <c r="K25" s="77"/>
    </row>
    <row r="26" spans="1:11" ht="13.2" x14ac:dyDescent="0.25">
      <c r="A26" s="49" t="s">
        <v>68</v>
      </c>
      <c r="B26" s="27" t="s">
        <v>48</v>
      </c>
      <c r="C26" s="63" t="s">
        <v>72</v>
      </c>
      <c r="D26" s="54" t="s">
        <v>71</v>
      </c>
      <c r="E26" s="57" t="s">
        <v>54</v>
      </c>
      <c r="F26" s="13"/>
      <c r="G26" s="101">
        <v>0</v>
      </c>
      <c r="H26" s="101">
        <v>0</v>
      </c>
      <c r="I26" s="50">
        <f t="shared" ref="I26:I44" si="1">H26-G26</f>
        <v>0</v>
      </c>
      <c r="J26" s="28"/>
      <c r="K26" s="113" t="s">
        <v>422</v>
      </c>
    </row>
    <row r="27" spans="1:11" ht="13.2" x14ac:dyDescent="0.25">
      <c r="A27" s="119" t="s">
        <v>427</v>
      </c>
      <c r="B27" s="27" t="s">
        <v>48</v>
      </c>
      <c r="C27" s="63" t="s">
        <v>213</v>
      </c>
      <c r="D27" s="54" t="s">
        <v>149</v>
      </c>
      <c r="E27" s="57" t="s">
        <v>57</v>
      </c>
      <c r="F27" s="13" t="s">
        <v>62</v>
      </c>
      <c r="G27" s="102">
        <v>3</v>
      </c>
      <c r="H27" s="101">
        <v>3.5</v>
      </c>
      <c r="I27" s="50">
        <v>0.5</v>
      </c>
      <c r="J27" s="62" t="s">
        <v>151</v>
      </c>
      <c r="K27" s="52" t="s">
        <v>150</v>
      </c>
    </row>
    <row r="28" spans="1:11" ht="13.2" x14ac:dyDescent="0.25">
      <c r="A28" s="26"/>
      <c r="B28" s="27" t="s">
        <v>48</v>
      </c>
      <c r="C28" s="63" t="s">
        <v>155</v>
      </c>
      <c r="D28" s="54" t="s">
        <v>152</v>
      </c>
      <c r="E28" s="57" t="s">
        <v>47</v>
      </c>
      <c r="F28" s="13" t="s">
        <v>62</v>
      </c>
      <c r="G28" s="101">
        <v>1</v>
      </c>
      <c r="H28" s="101">
        <v>1</v>
      </c>
      <c r="I28" s="50">
        <v>0</v>
      </c>
      <c r="J28" s="62" t="s">
        <v>154</v>
      </c>
      <c r="K28" s="52" t="s">
        <v>153</v>
      </c>
    </row>
    <row r="29" spans="1:11" ht="13.2" x14ac:dyDescent="0.25">
      <c r="A29" s="26"/>
      <c r="B29" s="27" t="s">
        <v>48</v>
      </c>
      <c r="C29" s="63" t="s">
        <v>156</v>
      </c>
      <c r="D29" s="54" t="s">
        <v>164</v>
      </c>
      <c r="E29" s="57" t="s">
        <v>47</v>
      </c>
      <c r="F29" s="13" t="s">
        <v>62</v>
      </c>
      <c r="G29" s="101">
        <v>1</v>
      </c>
      <c r="H29" s="101">
        <v>1</v>
      </c>
      <c r="I29" s="50">
        <f t="shared" si="1"/>
        <v>0</v>
      </c>
      <c r="J29" s="62" t="s">
        <v>158</v>
      </c>
      <c r="K29" s="52" t="s">
        <v>157</v>
      </c>
    </row>
    <row r="30" spans="1:11" ht="13.2" x14ac:dyDescent="0.25">
      <c r="A30" s="26"/>
      <c r="B30" s="27" t="s">
        <v>48</v>
      </c>
      <c r="C30" s="63" t="s">
        <v>159</v>
      </c>
      <c r="D30" s="54" t="s">
        <v>163</v>
      </c>
      <c r="E30" s="57" t="s">
        <v>57</v>
      </c>
      <c r="F30" s="13" t="s">
        <v>63</v>
      </c>
      <c r="G30" s="101">
        <v>2</v>
      </c>
      <c r="H30" s="101">
        <v>2.5</v>
      </c>
      <c r="I30" s="50">
        <f t="shared" si="1"/>
        <v>0.5</v>
      </c>
      <c r="J30" s="62" t="s">
        <v>161</v>
      </c>
      <c r="K30" s="52" t="s">
        <v>160</v>
      </c>
    </row>
    <row r="31" spans="1:11" ht="13.2" x14ac:dyDescent="0.25">
      <c r="A31" s="26"/>
      <c r="B31" s="27" t="s">
        <v>48</v>
      </c>
      <c r="C31" s="63" t="s">
        <v>165</v>
      </c>
      <c r="D31" s="54" t="s">
        <v>162</v>
      </c>
      <c r="E31" s="57" t="s">
        <v>57</v>
      </c>
      <c r="F31" s="13" t="s">
        <v>63</v>
      </c>
      <c r="G31" s="101">
        <v>1</v>
      </c>
      <c r="H31" s="101">
        <v>1</v>
      </c>
      <c r="I31" s="50">
        <f t="shared" si="1"/>
        <v>0</v>
      </c>
      <c r="J31" s="62" t="s">
        <v>167</v>
      </c>
      <c r="K31" s="52" t="s">
        <v>166</v>
      </c>
    </row>
    <row r="32" spans="1:11" ht="13.2" x14ac:dyDescent="0.25">
      <c r="A32" s="26">
        <v>45706</v>
      </c>
      <c r="B32" s="27" t="s">
        <v>48</v>
      </c>
      <c r="C32" s="63" t="s">
        <v>168</v>
      </c>
      <c r="D32" s="54" t="s">
        <v>169</v>
      </c>
      <c r="E32" s="57" t="s">
        <v>56</v>
      </c>
      <c r="F32" s="13" t="s">
        <v>63</v>
      </c>
      <c r="G32" s="101">
        <v>1</v>
      </c>
      <c r="H32" s="101">
        <v>1</v>
      </c>
      <c r="I32" s="50">
        <f t="shared" si="1"/>
        <v>0</v>
      </c>
      <c r="K32" s="52" t="s">
        <v>170</v>
      </c>
    </row>
    <row r="33" spans="1:11" ht="13.2" x14ac:dyDescent="0.25">
      <c r="A33" s="26"/>
      <c r="B33" s="27" t="s">
        <v>48</v>
      </c>
      <c r="C33" s="63" t="s">
        <v>172</v>
      </c>
      <c r="D33" s="54" t="s">
        <v>171</v>
      </c>
      <c r="E33" s="57" t="s">
        <v>56</v>
      </c>
      <c r="F33" s="13" t="s">
        <v>64</v>
      </c>
      <c r="G33" s="101">
        <v>1</v>
      </c>
      <c r="H33" s="101">
        <v>1</v>
      </c>
      <c r="I33" s="50">
        <f t="shared" si="1"/>
        <v>0</v>
      </c>
      <c r="J33" s="28"/>
      <c r="K33" s="52" t="s">
        <v>173</v>
      </c>
    </row>
    <row r="34" spans="1:11" ht="13.2" x14ac:dyDescent="0.25">
      <c r="A34" s="26"/>
      <c r="B34" s="27" t="s">
        <v>48</v>
      </c>
      <c r="C34" s="63" t="s">
        <v>179</v>
      </c>
      <c r="D34" s="54" t="s">
        <v>178</v>
      </c>
      <c r="E34" s="57" t="s">
        <v>57</v>
      </c>
      <c r="F34" s="13" t="s">
        <v>62</v>
      </c>
      <c r="G34" s="101">
        <v>1</v>
      </c>
      <c r="H34" s="101">
        <v>1</v>
      </c>
      <c r="I34" s="50">
        <f t="shared" si="1"/>
        <v>0</v>
      </c>
      <c r="J34" s="66" t="s">
        <v>181</v>
      </c>
      <c r="K34" s="52" t="s">
        <v>180</v>
      </c>
    </row>
    <row r="35" spans="1:11" ht="13.2" x14ac:dyDescent="0.25">
      <c r="A35" s="26">
        <v>45708</v>
      </c>
      <c r="B35" s="27" t="s">
        <v>48</v>
      </c>
      <c r="C35" s="63" t="s">
        <v>174</v>
      </c>
      <c r="D35" s="54" t="s">
        <v>175</v>
      </c>
      <c r="E35" s="57" t="s">
        <v>57</v>
      </c>
      <c r="F35" s="13" t="s">
        <v>62</v>
      </c>
      <c r="G35" s="101">
        <v>2</v>
      </c>
      <c r="H35" s="101">
        <v>1.5</v>
      </c>
      <c r="I35" s="50">
        <f>H43-G35</f>
        <v>-1</v>
      </c>
      <c r="J35" s="66" t="s">
        <v>177</v>
      </c>
      <c r="K35" s="52" t="s">
        <v>176</v>
      </c>
    </row>
    <row r="36" spans="1:11" ht="13.2" x14ac:dyDescent="0.25">
      <c r="A36" s="26"/>
      <c r="B36" s="27" t="s">
        <v>48</v>
      </c>
      <c r="C36" s="63" t="s">
        <v>183</v>
      </c>
      <c r="D36" s="54" t="s">
        <v>182</v>
      </c>
      <c r="E36" s="57" t="s">
        <v>47</v>
      </c>
      <c r="F36" s="13" t="s">
        <v>64</v>
      </c>
      <c r="G36" s="101">
        <v>2</v>
      </c>
      <c r="H36" s="101">
        <v>2</v>
      </c>
      <c r="I36" s="50">
        <v>0</v>
      </c>
      <c r="J36" s="62" t="s">
        <v>185</v>
      </c>
      <c r="K36" s="52" t="s">
        <v>184</v>
      </c>
    </row>
    <row r="37" spans="1:11" ht="13.2" x14ac:dyDescent="0.25">
      <c r="A37" s="26"/>
      <c r="B37" s="27" t="s">
        <v>48</v>
      </c>
      <c r="C37" s="68" t="s">
        <v>187</v>
      </c>
      <c r="D37" s="54" t="s">
        <v>186</v>
      </c>
      <c r="E37" s="57" t="s">
        <v>57</v>
      </c>
      <c r="F37" s="13" t="s">
        <v>417</v>
      </c>
      <c r="G37" s="101">
        <v>4</v>
      </c>
      <c r="H37" s="101">
        <v>5</v>
      </c>
      <c r="I37" s="112">
        <v>1</v>
      </c>
      <c r="J37" s="62" t="s">
        <v>188</v>
      </c>
      <c r="K37" s="61" t="s">
        <v>189</v>
      </c>
    </row>
    <row r="38" spans="1:11" ht="13.2" x14ac:dyDescent="0.25">
      <c r="A38" s="26"/>
      <c r="B38" s="27" t="s">
        <v>48</v>
      </c>
      <c r="C38" s="63" t="s">
        <v>191</v>
      </c>
      <c r="D38" s="54" t="s">
        <v>190</v>
      </c>
      <c r="E38" s="57" t="s">
        <v>57</v>
      </c>
      <c r="F38" s="13" t="s">
        <v>61</v>
      </c>
      <c r="G38" s="101">
        <v>3</v>
      </c>
      <c r="H38" s="101">
        <v>3</v>
      </c>
      <c r="I38" s="50">
        <v>0</v>
      </c>
      <c r="J38" s="62" t="s">
        <v>193</v>
      </c>
      <c r="K38" s="52" t="s">
        <v>192</v>
      </c>
    </row>
    <row r="39" spans="1:11" ht="13.2" x14ac:dyDescent="0.25">
      <c r="A39" s="120" t="s">
        <v>428</v>
      </c>
      <c r="B39" s="27" t="s">
        <v>48</v>
      </c>
      <c r="C39" s="68" t="s">
        <v>195</v>
      </c>
      <c r="D39" s="54" t="s">
        <v>194</v>
      </c>
      <c r="E39" s="57" t="s">
        <v>57</v>
      </c>
      <c r="F39" s="13" t="s">
        <v>63</v>
      </c>
      <c r="G39" s="101">
        <v>1</v>
      </c>
      <c r="H39" s="101">
        <v>1</v>
      </c>
      <c r="I39" s="50">
        <v>0</v>
      </c>
      <c r="J39" s="66" t="s">
        <v>197</v>
      </c>
      <c r="K39" s="61" t="s">
        <v>196</v>
      </c>
    </row>
    <row r="40" spans="1:11" ht="13.2" x14ac:dyDescent="0.25">
      <c r="A40" s="26"/>
      <c r="B40" s="27" t="s">
        <v>48</v>
      </c>
      <c r="C40" s="68" t="s">
        <v>198</v>
      </c>
      <c r="D40" s="54" t="s">
        <v>199</v>
      </c>
      <c r="E40" s="57" t="s">
        <v>57</v>
      </c>
      <c r="F40" s="13" t="s">
        <v>62</v>
      </c>
      <c r="G40" s="101">
        <v>1</v>
      </c>
      <c r="H40" s="101">
        <v>1</v>
      </c>
      <c r="I40" s="50">
        <v>0</v>
      </c>
      <c r="J40" s="62" t="s">
        <v>201</v>
      </c>
      <c r="K40" s="61" t="s">
        <v>200</v>
      </c>
    </row>
    <row r="41" spans="1:11" ht="13.2" x14ac:dyDescent="0.25">
      <c r="A41" s="26"/>
      <c r="B41" s="27" t="s">
        <v>48</v>
      </c>
      <c r="C41" s="68" t="s">
        <v>214</v>
      </c>
      <c r="D41" s="54" t="s">
        <v>202</v>
      </c>
      <c r="E41" s="57" t="s">
        <v>57</v>
      </c>
      <c r="F41" s="13" t="s">
        <v>64</v>
      </c>
      <c r="G41" s="101">
        <v>1</v>
      </c>
      <c r="H41" s="101">
        <v>2</v>
      </c>
      <c r="I41" s="50">
        <v>1</v>
      </c>
      <c r="J41" s="67" t="s">
        <v>204</v>
      </c>
      <c r="K41" s="61" t="s">
        <v>203</v>
      </c>
    </row>
    <row r="42" spans="1:11" ht="13.2" x14ac:dyDescent="0.25">
      <c r="A42" s="26"/>
      <c r="B42" s="27" t="s">
        <v>48</v>
      </c>
      <c r="C42" s="68" t="s">
        <v>205</v>
      </c>
      <c r="D42" s="54" t="s">
        <v>206</v>
      </c>
      <c r="E42" s="57" t="s">
        <v>57</v>
      </c>
      <c r="F42" s="13" t="s">
        <v>62</v>
      </c>
      <c r="G42" s="101">
        <v>3</v>
      </c>
      <c r="H42" s="101">
        <v>4</v>
      </c>
      <c r="I42" s="50">
        <v>1</v>
      </c>
      <c r="J42" s="66" t="s">
        <v>208</v>
      </c>
      <c r="K42" s="61" t="s">
        <v>207</v>
      </c>
    </row>
    <row r="43" spans="1:11" ht="13.2" x14ac:dyDescent="0.25">
      <c r="A43" s="26"/>
      <c r="B43" s="27" t="s">
        <v>48</v>
      </c>
      <c r="C43" s="63" t="s">
        <v>209</v>
      </c>
      <c r="D43" s="54" t="s">
        <v>210</v>
      </c>
      <c r="E43" s="57" t="s">
        <v>47</v>
      </c>
      <c r="F43" s="13" t="s">
        <v>61</v>
      </c>
      <c r="G43" s="101">
        <v>1</v>
      </c>
      <c r="H43" s="101">
        <v>1</v>
      </c>
      <c r="I43" s="50">
        <v>0</v>
      </c>
      <c r="J43" s="66" t="s">
        <v>212</v>
      </c>
      <c r="K43" s="64" t="s">
        <v>211</v>
      </c>
    </row>
    <row r="44" spans="1:11" ht="13.2" x14ac:dyDescent="0.25">
      <c r="A44" s="18"/>
      <c r="B44" s="20"/>
      <c r="C44" s="20"/>
      <c r="D44" s="20"/>
      <c r="E44" s="69" t="s">
        <v>15</v>
      </c>
      <c r="F44" s="20"/>
      <c r="G44" s="103">
        <f>SUM(G24:G43)</f>
        <v>29</v>
      </c>
      <c r="H44" s="103">
        <f>SUM(H24:H43)</f>
        <v>32.5</v>
      </c>
      <c r="I44" s="53">
        <f t="shared" si="1"/>
        <v>3.5</v>
      </c>
      <c r="J44" s="24"/>
      <c r="K44" s="20"/>
    </row>
    <row r="45" spans="1:11" ht="18.75" customHeight="1" x14ac:dyDescent="0.25">
      <c r="A45" s="86" t="s">
        <v>18</v>
      </c>
      <c r="B45" s="76"/>
      <c r="C45" s="76"/>
      <c r="D45" s="76"/>
      <c r="E45" s="76"/>
      <c r="F45" s="76"/>
      <c r="G45" s="76"/>
      <c r="H45" s="76"/>
      <c r="I45" s="76"/>
      <c r="J45" s="76"/>
      <c r="K45" s="77"/>
    </row>
    <row r="46" spans="1:11" ht="13.2" x14ac:dyDescent="0.25">
      <c r="A46" s="30" t="s">
        <v>11</v>
      </c>
      <c r="B46" s="87" t="s">
        <v>12</v>
      </c>
      <c r="C46" s="76"/>
      <c r="D46" s="76"/>
      <c r="E46" s="76"/>
      <c r="F46" s="76"/>
      <c r="G46" s="76"/>
      <c r="H46" s="76"/>
      <c r="I46" s="76"/>
      <c r="J46" s="76"/>
      <c r="K46" s="77"/>
    </row>
    <row r="47" spans="1:11" ht="27.75" customHeight="1" x14ac:dyDescent="0.25">
      <c r="A47" s="31" t="s">
        <v>13</v>
      </c>
      <c r="B47" s="87" t="s">
        <v>14</v>
      </c>
      <c r="C47" s="76"/>
      <c r="D47" s="76"/>
      <c r="E47" s="76"/>
      <c r="F47" s="76"/>
      <c r="G47" s="76"/>
      <c r="H47" s="76"/>
      <c r="I47" s="76"/>
      <c r="J47" s="76"/>
      <c r="K47" s="77"/>
    </row>
    <row r="48" spans="1:11" ht="13.2" x14ac:dyDescent="0.25">
      <c r="A48" s="48" t="s">
        <v>68</v>
      </c>
      <c r="B48" s="27" t="s">
        <v>48</v>
      </c>
      <c r="C48" s="95" t="s">
        <v>73</v>
      </c>
      <c r="D48" s="54" t="s">
        <v>79</v>
      </c>
      <c r="E48" s="13" t="s">
        <v>54</v>
      </c>
      <c r="F48" s="13"/>
      <c r="G48" s="50">
        <v>0</v>
      </c>
      <c r="H48" s="50">
        <v>0</v>
      </c>
      <c r="I48" s="50">
        <f t="shared" ref="I48:I70" si="2">H48-G48</f>
        <v>0</v>
      </c>
      <c r="J48" s="28"/>
      <c r="K48" s="27"/>
    </row>
    <row r="49" spans="1:11" ht="13.2" x14ac:dyDescent="0.25">
      <c r="A49" s="47">
        <v>45712</v>
      </c>
      <c r="B49" s="27" t="s">
        <v>48</v>
      </c>
      <c r="C49" s="95" t="s">
        <v>215</v>
      </c>
      <c r="D49" s="27" t="s">
        <v>216</v>
      </c>
      <c r="E49" s="13" t="s">
        <v>49</v>
      </c>
      <c r="F49" s="13" t="s">
        <v>62</v>
      </c>
      <c r="G49" s="50">
        <v>2</v>
      </c>
      <c r="H49" s="50">
        <v>2</v>
      </c>
      <c r="I49" s="50">
        <f t="shared" si="2"/>
        <v>0</v>
      </c>
      <c r="J49" s="59" t="s">
        <v>218</v>
      </c>
      <c r="K49" s="27" t="s">
        <v>217</v>
      </c>
    </row>
    <row r="50" spans="1:11" ht="13.2" x14ac:dyDescent="0.25">
      <c r="A50" s="32"/>
      <c r="B50" s="27" t="s">
        <v>48</v>
      </c>
      <c r="C50" s="95" t="s">
        <v>405</v>
      </c>
      <c r="D50" s="27" t="s">
        <v>219</v>
      </c>
      <c r="E50" s="13" t="s">
        <v>49</v>
      </c>
      <c r="F50" s="13" t="s">
        <v>62</v>
      </c>
      <c r="G50" s="50">
        <v>2</v>
      </c>
      <c r="H50" s="50">
        <v>2</v>
      </c>
      <c r="I50" s="50">
        <f t="shared" si="2"/>
        <v>0</v>
      </c>
      <c r="J50" s="59" t="s">
        <v>221</v>
      </c>
      <c r="K50" s="27" t="s">
        <v>220</v>
      </c>
    </row>
    <row r="51" spans="1:11" ht="13.2" x14ac:dyDescent="0.25">
      <c r="A51" s="32"/>
      <c r="B51" s="27" t="s">
        <v>48</v>
      </c>
      <c r="C51" s="95" t="s">
        <v>222</v>
      </c>
      <c r="D51" s="27" t="s">
        <v>223</v>
      </c>
      <c r="E51" s="13" t="s">
        <v>49</v>
      </c>
      <c r="F51" s="13" t="s">
        <v>62</v>
      </c>
      <c r="G51" s="50">
        <v>1</v>
      </c>
      <c r="H51" s="50">
        <v>1</v>
      </c>
      <c r="I51" s="50">
        <f t="shared" si="2"/>
        <v>0</v>
      </c>
      <c r="J51" s="59" t="s">
        <v>225</v>
      </c>
      <c r="K51" s="27" t="s">
        <v>224</v>
      </c>
    </row>
    <row r="52" spans="1:11" ht="13.2" x14ac:dyDescent="0.25">
      <c r="A52" s="32"/>
      <c r="B52" s="27" t="s">
        <v>48</v>
      </c>
      <c r="C52" s="95" t="s">
        <v>406</v>
      </c>
      <c r="D52" s="27" t="s">
        <v>229</v>
      </c>
      <c r="E52" s="13" t="s">
        <v>57</v>
      </c>
      <c r="F52" s="13" t="s">
        <v>63</v>
      </c>
      <c r="G52" s="50">
        <v>3</v>
      </c>
      <c r="H52" s="50">
        <v>3.5</v>
      </c>
      <c r="I52" s="50">
        <f t="shared" si="2"/>
        <v>0.5</v>
      </c>
      <c r="J52" s="108" t="s">
        <v>230</v>
      </c>
      <c r="K52" s="27" t="s">
        <v>231</v>
      </c>
    </row>
    <row r="53" spans="1:11" ht="13.2" x14ac:dyDescent="0.25">
      <c r="A53" s="32"/>
      <c r="B53" s="27" t="s">
        <v>48</v>
      </c>
      <c r="C53" s="95" t="s">
        <v>227</v>
      </c>
      <c r="D53" s="27" t="s">
        <v>226</v>
      </c>
      <c r="E53" s="13" t="s">
        <v>47</v>
      </c>
      <c r="F53" s="13" t="s">
        <v>62</v>
      </c>
      <c r="G53" s="50">
        <v>3</v>
      </c>
      <c r="H53" s="50">
        <v>4</v>
      </c>
      <c r="I53" s="50">
        <f t="shared" si="2"/>
        <v>1</v>
      </c>
      <c r="J53" s="108" t="s">
        <v>228</v>
      </c>
      <c r="K53" s="27" t="s">
        <v>403</v>
      </c>
    </row>
    <row r="54" spans="1:11" ht="13.2" x14ac:dyDescent="0.25">
      <c r="A54" s="32"/>
      <c r="B54" s="27" t="s">
        <v>48</v>
      </c>
      <c r="C54" s="95" t="s">
        <v>232</v>
      </c>
      <c r="D54" s="65" t="s">
        <v>233</v>
      </c>
      <c r="E54" s="13" t="s">
        <v>57</v>
      </c>
      <c r="F54" s="13" t="s">
        <v>64</v>
      </c>
      <c r="G54" s="50">
        <v>1</v>
      </c>
      <c r="H54" s="50">
        <v>1</v>
      </c>
      <c r="I54" s="50">
        <f t="shared" si="2"/>
        <v>0</v>
      </c>
      <c r="J54" s="109" t="s">
        <v>235</v>
      </c>
      <c r="K54" s="27" t="s">
        <v>234</v>
      </c>
    </row>
    <row r="55" spans="1:11" ht="13.2" x14ac:dyDescent="0.25">
      <c r="A55" s="121" t="s">
        <v>429</v>
      </c>
      <c r="B55" s="27" t="s">
        <v>48</v>
      </c>
      <c r="C55" s="95" t="s">
        <v>237</v>
      </c>
      <c r="D55" s="27" t="s">
        <v>236</v>
      </c>
      <c r="E55" s="13" t="s">
        <v>47</v>
      </c>
      <c r="F55" s="13" t="s">
        <v>64</v>
      </c>
      <c r="G55" s="50">
        <v>1</v>
      </c>
      <c r="H55" s="50">
        <v>1</v>
      </c>
      <c r="I55" s="50">
        <f t="shared" si="2"/>
        <v>0</v>
      </c>
      <c r="J55" s="59" t="s">
        <v>239</v>
      </c>
      <c r="K55" s="27" t="s">
        <v>238</v>
      </c>
    </row>
    <row r="56" spans="1:11" ht="13.2" x14ac:dyDescent="0.25">
      <c r="A56" s="32"/>
      <c r="B56" s="27" t="s">
        <v>48</v>
      </c>
      <c r="C56" s="95" t="s">
        <v>241</v>
      </c>
      <c r="D56" s="27" t="s">
        <v>240</v>
      </c>
      <c r="E56" s="13" t="s">
        <v>47</v>
      </c>
      <c r="F56" s="13" t="s">
        <v>63</v>
      </c>
      <c r="G56" s="50">
        <v>1</v>
      </c>
      <c r="H56" s="50">
        <v>1</v>
      </c>
      <c r="I56" s="50">
        <f t="shared" si="2"/>
        <v>0</v>
      </c>
      <c r="J56" s="59" t="s">
        <v>242</v>
      </c>
      <c r="K56" s="27" t="s">
        <v>404</v>
      </c>
    </row>
    <row r="57" spans="1:11" ht="13.2" x14ac:dyDescent="0.25">
      <c r="A57" s="32"/>
      <c r="B57" s="27" t="s">
        <v>48</v>
      </c>
      <c r="C57" s="95" t="s">
        <v>244</v>
      </c>
      <c r="D57" s="27" t="s">
        <v>243</v>
      </c>
      <c r="E57" s="13" t="s">
        <v>49</v>
      </c>
      <c r="F57" s="13" t="s">
        <v>65</v>
      </c>
      <c r="G57" s="50">
        <v>2</v>
      </c>
      <c r="H57" s="50">
        <v>2</v>
      </c>
      <c r="I57" s="50">
        <f t="shared" si="2"/>
        <v>0</v>
      </c>
      <c r="J57" s="59" t="s">
        <v>246</v>
      </c>
      <c r="K57" s="27" t="s">
        <v>245</v>
      </c>
    </row>
    <row r="58" spans="1:11" ht="13.2" x14ac:dyDescent="0.25">
      <c r="A58" s="32"/>
      <c r="B58" s="27" t="s">
        <v>48</v>
      </c>
      <c r="C58" s="95" t="s">
        <v>249</v>
      </c>
      <c r="D58" s="27" t="s">
        <v>247</v>
      </c>
      <c r="E58" s="13" t="s">
        <v>49</v>
      </c>
      <c r="F58" s="13" t="s">
        <v>62</v>
      </c>
      <c r="G58" s="50">
        <v>3</v>
      </c>
      <c r="H58" s="50">
        <v>3.5</v>
      </c>
      <c r="I58" s="50">
        <f t="shared" si="2"/>
        <v>0.5</v>
      </c>
      <c r="J58" s="59" t="s">
        <v>250</v>
      </c>
      <c r="K58" s="27" t="s">
        <v>248</v>
      </c>
    </row>
    <row r="59" spans="1:11" ht="13.2" x14ac:dyDescent="0.25">
      <c r="A59" s="32"/>
      <c r="B59" s="27" t="s">
        <v>48</v>
      </c>
      <c r="C59" s="95" t="s">
        <v>252</v>
      </c>
      <c r="D59" s="27" t="s">
        <v>251</v>
      </c>
      <c r="E59" s="13" t="s">
        <v>57</v>
      </c>
      <c r="F59" s="13" t="s">
        <v>62</v>
      </c>
      <c r="G59" s="50">
        <v>2</v>
      </c>
      <c r="H59" s="50">
        <v>3.5</v>
      </c>
      <c r="I59" s="50">
        <f t="shared" si="2"/>
        <v>1.5</v>
      </c>
      <c r="J59" s="59" t="s">
        <v>254</v>
      </c>
      <c r="K59" s="70" t="s">
        <v>253</v>
      </c>
    </row>
    <row r="60" spans="1:11" ht="13.2" x14ac:dyDescent="0.25">
      <c r="A60" s="32"/>
      <c r="B60" s="27" t="s">
        <v>48</v>
      </c>
      <c r="C60" s="111" t="s">
        <v>257</v>
      </c>
      <c r="D60" s="27" t="s">
        <v>255</v>
      </c>
      <c r="E60" s="13" t="s">
        <v>41</v>
      </c>
      <c r="F60" s="13" t="s">
        <v>64</v>
      </c>
      <c r="G60" s="50">
        <v>1</v>
      </c>
      <c r="H60" s="50">
        <v>1</v>
      </c>
      <c r="I60" s="50">
        <f t="shared" si="2"/>
        <v>0</v>
      </c>
      <c r="J60" s="108" t="s">
        <v>258</v>
      </c>
      <c r="K60" s="27" t="s">
        <v>256</v>
      </c>
    </row>
    <row r="61" spans="1:11" ht="13.2" x14ac:dyDescent="0.25">
      <c r="A61" s="32"/>
      <c r="B61" s="27" t="s">
        <v>48</v>
      </c>
      <c r="C61" s="95" t="s">
        <v>259</v>
      </c>
      <c r="D61" s="27" t="s">
        <v>259</v>
      </c>
      <c r="E61" s="13" t="s">
        <v>57</v>
      </c>
      <c r="F61" s="13" t="s">
        <v>62</v>
      </c>
      <c r="G61" s="50">
        <v>3</v>
      </c>
      <c r="H61" s="50">
        <v>3.5</v>
      </c>
      <c r="I61" s="50">
        <f t="shared" si="2"/>
        <v>0.5</v>
      </c>
      <c r="J61" s="109" t="s">
        <v>261</v>
      </c>
      <c r="K61" s="27" t="s">
        <v>260</v>
      </c>
    </row>
    <row r="62" spans="1:11" ht="13.2" x14ac:dyDescent="0.25">
      <c r="A62" s="32"/>
      <c r="B62" s="27" t="s">
        <v>48</v>
      </c>
      <c r="C62" s="95" t="s">
        <v>264</v>
      </c>
      <c r="D62" s="27" t="s">
        <v>262</v>
      </c>
      <c r="E62" s="13" t="s">
        <v>57</v>
      </c>
      <c r="F62" s="13" t="s">
        <v>62</v>
      </c>
      <c r="G62" s="50">
        <v>4</v>
      </c>
      <c r="H62" s="50">
        <v>4.5</v>
      </c>
      <c r="I62" s="50">
        <f t="shared" si="2"/>
        <v>0.5</v>
      </c>
      <c r="J62" s="59" t="s">
        <v>261</v>
      </c>
      <c r="K62" s="27" t="s">
        <v>263</v>
      </c>
    </row>
    <row r="63" spans="1:11" ht="13.2" x14ac:dyDescent="0.25">
      <c r="A63" s="122" t="s">
        <v>430</v>
      </c>
      <c r="B63" s="27" t="s">
        <v>48</v>
      </c>
      <c r="C63" s="95" t="s">
        <v>265</v>
      </c>
      <c r="D63" s="27" t="s">
        <v>266</v>
      </c>
      <c r="E63" s="13" t="s">
        <v>57</v>
      </c>
      <c r="F63" s="13" t="s">
        <v>62</v>
      </c>
      <c r="G63" s="50">
        <v>1</v>
      </c>
      <c r="H63" s="50">
        <v>1.5</v>
      </c>
      <c r="I63" s="50">
        <f t="shared" si="2"/>
        <v>0.5</v>
      </c>
      <c r="J63" s="109" t="s">
        <v>151</v>
      </c>
      <c r="K63" s="27" t="s">
        <v>267</v>
      </c>
    </row>
    <row r="64" spans="1:11" ht="13.2" x14ac:dyDescent="0.25">
      <c r="A64" s="32"/>
      <c r="B64" s="27" t="s">
        <v>48</v>
      </c>
      <c r="C64" s="95" t="s">
        <v>269</v>
      </c>
      <c r="D64" s="70" t="s">
        <v>268</v>
      </c>
      <c r="E64" s="13" t="s">
        <v>41</v>
      </c>
      <c r="F64" s="13" t="s">
        <v>62</v>
      </c>
      <c r="G64" s="50">
        <v>4</v>
      </c>
      <c r="H64" s="50">
        <v>5</v>
      </c>
      <c r="I64" s="50">
        <f t="shared" si="2"/>
        <v>1</v>
      </c>
      <c r="J64" s="59" t="s">
        <v>271</v>
      </c>
      <c r="K64" s="27" t="s">
        <v>270</v>
      </c>
    </row>
    <row r="65" spans="1:11" ht="13.8" x14ac:dyDescent="0.25">
      <c r="A65" s="32"/>
      <c r="B65" s="27" t="s">
        <v>48</v>
      </c>
      <c r="C65" s="95" t="s">
        <v>272</v>
      </c>
      <c r="D65" s="27" t="s">
        <v>273</v>
      </c>
      <c r="E65" s="13" t="s">
        <v>57</v>
      </c>
      <c r="F65" s="13" t="s">
        <v>62</v>
      </c>
      <c r="G65" s="50">
        <v>1</v>
      </c>
      <c r="H65" s="50">
        <v>1</v>
      </c>
      <c r="I65" s="50">
        <f t="shared" si="2"/>
        <v>0</v>
      </c>
      <c r="J65" s="110" t="s">
        <v>275</v>
      </c>
      <c r="K65" s="27" t="s">
        <v>274</v>
      </c>
    </row>
    <row r="66" spans="1:11" ht="13.8" x14ac:dyDescent="0.25">
      <c r="A66" s="123">
        <v>45994</v>
      </c>
      <c r="B66" s="27" t="s">
        <v>48</v>
      </c>
      <c r="C66" s="95" t="s">
        <v>277</v>
      </c>
      <c r="D66" s="27" t="s">
        <v>276</v>
      </c>
      <c r="E66" s="13" t="s">
        <v>57</v>
      </c>
      <c r="F66" s="13" t="s">
        <v>63</v>
      </c>
      <c r="G66" s="50">
        <v>1</v>
      </c>
      <c r="H66" s="50">
        <v>0.5</v>
      </c>
      <c r="I66" s="50">
        <f t="shared" si="2"/>
        <v>-0.5</v>
      </c>
      <c r="J66" s="110" t="s">
        <v>279</v>
      </c>
      <c r="K66" s="27" t="s">
        <v>278</v>
      </c>
    </row>
    <row r="67" spans="1:11" ht="13.8" x14ac:dyDescent="0.25">
      <c r="A67" s="32"/>
      <c r="B67" s="27" t="s">
        <v>48</v>
      </c>
      <c r="C67" s="95" t="s">
        <v>283</v>
      </c>
      <c r="D67" s="27" t="s">
        <v>280</v>
      </c>
      <c r="E67" s="13" t="s">
        <v>57</v>
      </c>
      <c r="F67" s="13" t="s">
        <v>62</v>
      </c>
      <c r="G67" s="50">
        <v>4</v>
      </c>
      <c r="H67" s="50">
        <v>4</v>
      </c>
      <c r="I67" s="50">
        <f t="shared" si="2"/>
        <v>0</v>
      </c>
      <c r="J67" s="110" t="s">
        <v>282</v>
      </c>
      <c r="K67" s="27" t="s">
        <v>281</v>
      </c>
    </row>
    <row r="68" spans="1:11" ht="13.8" x14ac:dyDescent="0.25">
      <c r="A68" s="32"/>
      <c r="B68" s="27" t="s">
        <v>48</v>
      </c>
      <c r="C68" s="95" t="s">
        <v>286</v>
      </c>
      <c r="D68" s="27" t="s">
        <v>284</v>
      </c>
      <c r="E68" s="13" t="s">
        <v>57</v>
      </c>
      <c r="F68" s="13" t="s">
        <v>62</v>
      </c>
      <c r="G68" s="50">
        <v>2</v>
      </c>
      <c r="H68" s="50">
        <v>4</v>
      </c>
      <c r="I68" s="50">
        <f t="shared" si="2"/>
        <v>2</v>
      </c>
      <c r="J68" s="110" t="s">
        <v>246</v>
      </c>
      <c r="K68" s="27" t="s">
        <v>285</v>
      </c>
    </row>
    <row r="69" spans="1:11" ht="13.8" x14ac:dyDescent="0.25">
      <c r="A69" s="32"/>
      <c r="B69" s="27" t="s">
        <v>48</v>
      </c>
      <c r="C69" s="95" t="s">
        <v>290</v>
      </c>
      <c r="D69" s="27" t="s">
        <v>287</v>
      </c>
      <c r="E69" s="13" t="s">
        <v>57</v>
      </c>
      <c r="F69" s="13" t="s">
        <v>62</v>
      </c>
      <c r="G69" s="50">
        <v>4</v>
      </c>
      <c r="H69" s="50">
        <v>4</v>
      </c>
      <c r="I69" s="50">
        <f t="shared" si="2"/>
        <v>0</v>
      </c>
      <c r="J69" s="110" t="s">
        <v>289</v>
      </c>
      <c r="K69" s="27" t="s">
        <v>288</v>
      </c>
    </row>
    <row r="70" spans="1:11" ht="13.2" x14ac:dyDescent="0.25">
      <c r="A70" s="18"/>
      <c r="B70" s="20"/>
      <c r="C70" s="20"/>
      <c r="D70" s="20"/>
      <c r="E70" s="53" t="s">
        <v>15</v>
      </c>
      <c r="F70" s="20"/>
      <c r="G70" s="53">
        <f>SUM(G48:G69)</f>
        <v>46</v>
      </c>
      <c r="H70" s="53">
        <f>SUM(H48:H69)</f>
        <v>53.5</v>
      </c>
      <c r="I70" s="53">
        <f t="shared" si="2"/>
        <v>7.5</v>
      </c>
      <c r="J70" s="24"/>
      <c r="K70" s="20"/>
    </row>
    <row r="71" spans="1:11" ht="18.75" customHeight="1" x14ac:dyDescent="0.25">
      <c r="A71" s="88" t="s">
        <v>19</v>
      </c>
      <c r="B71" s="76"/>
      <c r="C71" s="76"/>
      <c r="D71" s="76"/>
      <c r="E71" s="76"/>
      <c r="F71" s="76"/>
      <c r="G71" s="76"/>
      <c r="H71" s="76"/>
      <c r="I71" s="76"/>
      <c r="J71" s="76"/>
      <c r="K71" s="77"/>
    </row>
    <row r="72" spans="1:11" ht="13.2" x14ac:dyDescent="0.25">
      <c r="A72" s="33" t="s">
        <v>11</v>
      </c>
      <c r="B72" s="82" t="s">
        <v>12</v>
      </c>
      <c r="C72" s="76"/>
      <c r="D72" s="76"/>
      <c r="E72" s="76"/>
      <c r="F72" s="76"/>
      <c r="G72" s="76"/>
      <c r="H72" s="76"/>
      <c r="I72" s="76"/>
      <c r="J72" s="76"/>
      <c r="K72" s="77"/>
    </row>
    <row r="73" spans="1:11" ht="27.75" customHeight="1" x14ac:dyDescent="0.25">
      <c r="A73" s="34" t="s">
        <v>13</v>
      </c>
      <c r="B73" s="82" t="s">
        <v>14</v>
      </c>
      <c r="C73" s="76"/>
      <c r="D73" s="76"/>
      <c r="E73" s="76"/>
      <c r="F73" s="76"/>
      <c r="G73" s="76"/>
      <c r="H73" s="76"/>
      <c r="I73" s="76"/>
      <c r="J73" s="76"/>
      <c r="K73" s="77"/>
    </row>
    <row r="74" spans="1:11" ht="13.2" x14ac:dyDescent="0.25">
      <c r="A74" s="48" t="s">
        <v>68</v>
      </c>
      <c r="B74" s="27" t="s">
        <v>48</v>
      </c>
      <c r="C74" s="51" t="s">
        <v>74</v>
      </c>
      <c r="D74" s="54" t="s">
        <v>80</v>
      </c>
      <c r="E74" s="13" t="s">
        <v>54</v>
      </c>
      <c r="F74" s="13"/>
      <c r="G74" s="50">
        <v>0</v>
      </c>
      <c r="H74" s="50">
        <v>0</v>
      </c>
      <c r="I74" s="50">
        <f t="shared" ref="I74:I86" si="3">H74-G74</f>
        <v>0</v>
      </c>
      <c r="J74" s="99"/>
      <c r="K74" s="113" t="s">
        <v>423</v>
      </c>
    </row>
    <row r="75" spans="1:11" ht="13.2" x14ac:dyDescent="0.25">
      <c r="A75" s="47"/>
      <c r="B75" s="27" t="s">
        <v>48</v>
      </c>
      <c r="C75" s="12" t="s">
        <v>294</v>
      </c>
      <c r="D75" s="27" t="s">
        <v>291</v>
      </c>
      <c r="E75" s="13" t="s">
        <v>57</v>
      </c>
      <c r="F75" s="13" t="s">
        <v>62</v>
      </c>
      <c r="G75" s="50">
        <v>4</v>
      </c>
      <c r="H75" s="50">
        <v>4</v>
      </c>
      <c r="I75" s="50">
        <f t="shared" si="3"/>
        <v>0</v>
      </c>
      <c r="J75" s="100" t="s">
        <v>293</v>
      </c>
      <c r="K75" s="27" t="s">
        <v>292</v>
      </c>
    </row>
    <row r="76" spans="1:11" ht="13.2" x14ac:dyDescent="0.25">
      <c r="A76" s="32"/>
      <c r="B76" s="27" t="s">
        <v>48</v>
      </c>
      <c r="C76" s="12" t="s">
        <v>297</v>
      </c>
      <c r="D76" s="27" t="s">
        <v>295</v>
      </c>
      <c r="E76" s="13" t="s">
        <v>47</v>
      </c>
      <c r="F76" s="13" t="s">
        <v>62</v>
      </c>
      <c r="G76" s="50">
        <v>3</v>
      </c>
      <c r="H76" s="50">
        <v>3.5</v>
      </c>
      <c r="I76" s="50">
        <f t="shared" si="3"/>
        <v>0.5</v>
      </c>
      <c r="J76" s="100" t="s">
        <v>296</v>
      </c>
      <c r="K76" s="27" t="s">
        <v>298</v>
      </c>
    </row>
    <row r="77" spans="1:11" ht="13.2" x14ac:dyDescent="0.25">
      <c r="A77" s="124">
        <v>45933</v>
      </c>
      <c r="B77" s="27" t="s">
        <v>48</v>
      </c>
      <c r="C77" s="12" t="s">
        <v>265</v>
      </c>
      <c r="D77" s="27" t="s">
        <v>299</v>
      </c>
      <c r="E77" s="13" t="s">
        <v>57</v>
      </c>
      <c r="F77" s="13" t="s">
        <v>62</v>
      </c>
      <c r="G77" s="50">
        <v>3</v>
      </c>
      <c r="H77" s="50">
        <v>4</v>
      </c>
      <c r="I77" s="50">
        <f t="shared" si="3"/>
        <v>1</v>
      </c>
      <c r="J77" s="100" t="s">
        <v>301</v>
      </c>
      <c r="K77" s="27" t="s">
        <v>300</v>
      </c>
    </row>
    <row r="78" spans="1:11" ht="13.2" x14ac:dyDescent="0.25">
      <c r="A78" s="32"/>
      <c r="B78" s="27" t="s">
        <v>48</v>
      </c>
      <c r="C78" s="12" t="s">
        <v>303</v>
      </c>
      <c r="D78" s="27" t="s">
        <v>302</v>
      </c>
      <c r="E78" s="13" t="s">
        <v>57</v>
      </c>
      <c r="F78" s="13" t="s">
        <v>63</v>
      </c>
      <c r="G78" s="50">
        <v>2</v>
      </c>
      <c r="H78" s="50">
        <v>2</v>
      </c>
      <c r="I78" s="50">
        <f t="shared" si="3"/>
        <v>0</v>
      </c>
      <c r="J78" s="100" t="s">
        <v>305</v>
      </c>
      <c r="K78" s="27" t="s">
        <v>304</v>
      </c>
    </row>
    <row r="79" spans="1:11" ht="13.2" x14ac:dyDescent="0.25">
      <c r="A79" s="32"/>
      <c r="B79" s="27" t="s">
        <v>48</v>
      </c>
      <c r="C79" s="12" t="s">
        <v>307</v>
      </c>
      <c r="D79" s="27" t="s">
        <v>306</v>
      </c>
      <c r="E79" s="13" t="s">
        <v>57</v>
      </c>
      <c r="F79" s="13" t="s">
        <v>63</v>
      </c>
      <c r="G79" s="50">
        <v>2</v>
      </c>
      <c r="H79" s="50">
        <v>2.5</v>
      </c>
      <c r="I79" s="50">
        <f t="shared" si="3"/>
        <v>0.5</v>
      </c>
      <c r="J79" s="100" t="s">
        <v>261</v>
      </c>
      <c r="K79" s="27" t="s">
        <v>308</v>
      </c>
    </row>
    <row r="80" spans="1:11" ht="13.2" x14ac:dyDescent="0.25">
      <c r="A80" s="125">
        <v>45727</v>
      </c>
      <c r="B80" s="27" t="s">
        <v>48</v>
      </c>
      <c r="C80" s="12" t="s">
        <v>311</v>
      </c>
      <c r="D80" s="27" t="s">
        <v>309</v>
      </c>
      <c r="E80" s="13" t="s">
        <v>47</v>
      </c>
      <c r="F80" s="13" t="s">
        <v>64</v>
      </c>
      <c r="G80" s="50">
        <v>2</v>
      </c>
      <c r="H80" s="50">
        <v>2</v>
      </c>
      <c r="I80" s="50">
        <f t="shared" si="3"/>
        <v>0</v>
      </c>
      <c r="J80" s="100" t="s">
        <v>316</v>
      </c>
      <c r="K80" s="27" t="s">
        <v>310</v>
      </c>
    </row>
    <row r="81" spans="1:11" ht="13.2" x14ac:dyDescent="0.25">
      <c r="A81" s="32"/>
      <c r="B81" s="27" t="s">
        <v>48</v>
      </c>
      <c r="C81" s="12" t="s">
        <v>315</v>
      </c>
      <c r="D81" s="27" t="s">
        <v>312</v>
      </c>
      <c r="E81" s="13" t="s">
        <v>57</v>
      </c>
      <c r="F81" s="13" t="s">
        <v>63</v>
      </c>
      <c r="G81" s="50">
        <v>3</v>
      </c>
      <c r="H81" s="50">
        <v>3.5</v>
      </c>
      <c r="I81" s="50">
        <f t="shared" si="3"/>
        <v>0.5</v>
      </c>
      <c r="J81" s="100" t="s">
        <v>314</v>
      </c>
      <c r="K81" s="27" t="s">
        <v>313</v>
      </c>
    </row>
    <row r="82" spans="1:11" ht="13.2" x14ac:dyDescent="0.25">
      <c r="A82" s="126">
        <v>45994</v>
      </c>
      <c r="B82" s="27" t="s">
        <v>48</v>
      </c>
      <c r="C82" s="12" t="s">
        <v>319</v>
      </c>
      <c r="D82" s="27" t="s">
        <v>317</v>
      </c>
      <c r="E82" s="13" t="s">
        <v>57</v>
      </c>
      <c r="F82" s="13" t="s">
        <v>65</v>
      </c>
      <c r="G82" s="50">
        <v>1</v>
      </c>
      <c r="H82" s="50">
        <v>1</v>
      </c>
      <c r="I82" s="50">
        <f t="shared" si="3"/>
        <v>0</v>
      </c>
      <c r="J82" s="100" t="s">
        <v>323</v>
      </c>
      <c r="K82" s="27" t="s">
        <v>318</v>
      </c>
    </row>
    <row r="83" spans="1:11" ht="13.2" x14ac:dyDescent="0.25">
      <c r="A83" s="32"/>
      <c r="B83" s="27" t="s">
        <v>48</v>
      </c>
      <c r="C83" s="12" t="s">
        <v>322</v>
      </c>
      <c r="D83" s="27" t="s">
        <v>320</v>
      </c>
      <c r="E83" s="13" t="s">
        <v>57</v>
      </c>
      <c r="F83" s="13" t="s">
        <v>63</v>
      </c>
      <c r="G83" s="50">
        <v>1</v>
      </c>
      <c r="H83" s="50">
        <v>1</v>
      </c>
      <c r="I83" s="50">
        <f t="shared" si="3"/>
        <v>0</v>
      </c>
      <c r="J83" s="100" t="s">
        <v>104</v>
      </c>
      <c r="K83" s="27" t="s">
        <v>321</v>
      </c>
    </row>
    <row r="84" spans="1:11" ht="13.2" x14ac:dyDescent="0.25">
      <c r="A84" s="127" t="s">
        <v>430</v>
      </c>
      <c r="B84" s="27" t="s">
        <v>48</v>
      </c>
      <c r="C84" s="12" t="s">
        <v>325</v>
      </c>
      <c r="D84" s="27" t="s">
        <v>317</v>
      </c>
      <c r="E84" s="13" t="s">
        <v>57</v>
      </c>
      <c r="F84" s="13" t="s">
        <v>65</v>
      </c>
      <c r="G84" s="50">
        <v>1</v>
      </c>
      <c r="H84" s="50">
        <v>3</v>
      </c>
      <c r="I84" s="50">
        <f t="shared" si="3"/>
        <v>2</v>
      </c>
      <c r="J84" s="100" t="s">
        <v>324</v>
      </c>
      <c r="K84" s="27" t="s">
        <v>318</v>
      </c>
    </row>
    <row r="85" spans="1:11" ht="13.2" x14ac:dyDescent="0.25">
      <c r="A85" s="128" t="s">
        <v>431</v>
      </c>
      <c r="B85" s="27" t="s">
        <v>48</v>
      </c>
      <c r="C85" s="12" t="s">
        <v>328</v>
      </c>
      <c r="D85" s="27" t="s">
        <v>326</v>
      </c>
      <c r="E85" s="13" t="s">
        <v>47</v>
      </c>
      <c r="F85" s="13" t="s">
        <v>66</v>
      </c>
      <c r="G85" s="50">
        <v>2</v>
      </c>
      <c r="H85" s="50">
        <v>3</v>
      </c>
      <c r="I85" s="50">
        <f t="shared" si="3"/>
        <v>1</v>
      </c>
      <c r="J85" s="100" t="s">
        <v>329</v>
      </c>
      <c r="K85" s="27" t="s">
        <v>327</v>
      </c>
    </row>
    <row r="86" spans="1:11" ht="13.2" x14ac:dyDescent="0.25">
      <c r="A86" s="18"/>
      <c r="B86" s="20"/>
      <c r="C86" s="20"/>
      <c r="D86" s="20"/>
      <c r="E86" s="53" t="s">
        <v>15</v>
      </c>
      <c r="F86" s="20"/>
      <c r="G86" s="53">
        <f>SUM(G74:G85)</f>
        <v>24</v>
      </c>
      <c r="H86" s="53">
        <f>SUM(H74:H85)</f>
        <v>29.5</v>
      </c>
      <c r="I86" s="53">
        <f t="shared" si="3"/>
        <v>5.5</v>
      </c>
      <c r="J86" s="24"/>
      <c r="K86" s="20"/>
    </row>
    <row r="87" spans="1:11" ht="18.75" customHeight="1" x14ac:dyDescent="0.25">
      <c r="A87" s="83" t="s">
        <v>20</v>
      </c>
      <c r="B87" s="76"/>
      <c r="C87" s="76"/>
      <c r="D87" s="76"/>
      <c r="E87" s="76"/>
      <c r="F87" s="76"/>
      <c r="G87" s="76"/>
      <c r="H87" s="76"/>
      <c r="I87" s="76"/>
      <c r="J87" s="76"/>
      <c r="K87" s="77"/>
    </row>
    <row r="88" spans="1:11" ht="13.2" x14ac:dyDescent="0.25">
      <c r="A88" s="35" t="s">
        <v>11</v>
      </c>
      <c r="B88" s="75" t="s">
        <v>12</v>
      </c>
      <c r="C88" s="76"/>
      <c r="D88" s="76"/>
      <c r="E88" s="76"/>
      <c r="F88" s="76"/>
      <c r="G88" s="76"/>
      <c r="H88" s="76"/>
      <c r="I88" s="76"/>
      <c r="J88" s="76"/>
      <c r="K88" s="77"/>
    </row>
    <row r="89" spans="1:11" ht="27.75" customHeight="1" x14ac:dyDescent="0.25">
      <c r="A89" s="36" t="s">
        <v>13</v>
      </c>
      <c r="B89" s="75" t="s">
        <v>14</v>
      </c>
      <c r="C89" s="76"/>
      <c r="D89" s="76"/>
      <c r="E89" s="76"/>
      <c r="F89" s="76"/>
      <c r="G89" s="76"/>
      <c r="H89" s="76"/>
      <c r="I89" s="76"/>
      <c r="J89" s="76"/>
      <c r="K89" s="77"/>
    </row>
    <row r="90" spans="1:11" ht="13.2" x14ac:dyDescent="0.25">
      <c r="A90" s="48" t="s">
        <v>68</v>
      </c>
      <c r="B90" s="27" t="s">
        <v>48</v>
      </c>
      <c r="C90" s="51" t="s">
        <v>75</v>
      </c>
      <c r="D90" s="54" t="s">
        <v>81</v>
      </c>
      <c r="E90" s="13" t="s">
        <v>54</v>
      </c>
      <c r="F90" s="13" t="s">
        <v>39</v>
      </c>
      <c r="G90" s="50">
        <v>0</v>
      </c>
      <c r="H90" s="50">
        <v>0</v>
      </c>
      <c r="I90" s="50">
        <f t="shared" ref="I90:I108" si="4">H90-G90</f>
        <v>0</v>
      </c>
      <c r="J90" s="104"/>
      <c r="K90" s="113" t="s">
        <v>424</v>
      </c>
    </row>
    <row r="91" spans="1:11" ht="13.2" x14ac:dyDescent="0.25">
      <c r="A91" s="32"/>
      <c r="B91" s="27" t="s">
        <v>48</v>
      </c>
      <c r="C91" s="12" t="s">
        <v>332</v>
      </c>
      <c r="D91" s="27" t="s">
        <v>330</v>
      </c>
      <c r="E91" s="13" t="s">
        <v>57</v>
      </c>
      <c r="F91" s="13" t="s">
        <v>63</v>
      </c>
      <c r="G91" s="50">
        <v>4</v>
      </c>
      <c r="H91" s="50">
        <v>4</v>
      </c>
      <c r="I91" s="50">
        <f t="shared" si="4"/>
        <v>0</v>
      </c>
      <c r="J91" s="105" t="s">
        <v>333</v>
      </c>
      <c r="K91" s="27" t="s">
        <v>331</v>
      </c>
    </row>
    <row r="92" spans="1:11" ht="13.2" x14ac:dyDescent="0.25">
      <c r="A92" s="32"/>
      <c r="B92" s="27" t="s">
        <v>48</v>
      </c>
      <c r="C92" s="12" t="s">
        <v>336</v>
      </c>
      <c r="D92" s="27" t="s">
        <v>334</v>
      </c>
      <c r="E92" s="13" t="s">
        <v>57</v>
      </c>
      <c r="F92" s="13" t="s">
        <v>63</v>
      </c>
      <c r="G92" s="50">
        <v>2</v>
      </c>
      <c r="H92" s="50">
        <v>2</v>
      </c>
      <c r="I92" s="50">
        <f t="shared" si="4"/>
        <v>0</v>
      </c>
      <c r="J92" s="105" t="s">
        <v>337</v>
      </c>
      <c r="K92" s="27" t="s">
        <v>335</v>
      </c>
    </row>
    <row r="93" spans="1:11" ht="13.2" x14ac:dyDescent="0.25">
      <c r="A93" s="129" t="s">
        <v>432</v>
      </c>
      <c r="B93" s="27" t="s">
        <v>48</v>
      </c>
      <c r="C93" s="12" t="s">
        <v>340</v>
      </c>
      <c r="D93" s="27" t="s">
        <v>338</v>
      </c>
      <c r="E93" s="13" t="s">
        <v>57</v>
      </c>
      <c r="F93" s="13" t="s">
        <v>63</v>
      </c>
      <c r="G93" s="50">
        <v>4</v>
      </c>
      <c r="H93" s="112">
        <v>3</v>
      </c>
      <c r="I93" s="50">
        <v>1</v>
      </c>
      <c r="J93" s="105" t="s">
        <v>339</v>
      </c>
      <c r="K93" s="27" t="s">
        <v>341</v>
      </c>
    </row>
    <row r="94" spans="1:11" ht="13.2" x14ac:dyDescent="0.25">
      <c r="A94" s="32"/>
      <c r="B94" s="27" t="s">
        <v>48</v>
      </c>
      <c r="C94" s="12" t="s">
        <v>343</v>
      </c>
      <c r="D94" s="27" t="s">
        <v>342</v>
      </c>
      <c r="E94" s="13" t="s">
        <v>47</v>
      </c>
      <c r="F94" s="13" t="s">
        <v>63</v>
      </c>
      <c r="G94" s="50">
        <v>2</v>
      </c>
      <c r="H94" s="50">
        <v>1</v>
      </c>
      <c r="I94" s="50">
        <v>1</v>
      </c>
      <c r="J94" s="105" t="s">
        <v>345</v>
      </c>
      <c r="K94" s="27" t="s">
        <v>344</v>
      </c>
    </row>
    <row r="95" spans="1:11" ht="13.2" x14ac:dyDescent="0.25">
      <c r="A95" s="32"/>
      <c r="B95" s="27" t="s">
        <v>48</v>
      </c>
      <c r="C95" s="12" t="s">
        <v>348</v>
      </c>
      <c r="D95" s="27" t="s">
        <v>346</v>
      </c>
      <c r="E95" s="13" t="s">
        <v>57</v>
      </c>
      <c r="F95" s="13" t="s">
        <v>64</v>
      </c>
      <c r="G95" s="50">
        <v>3</v>
      </c>
      <c r="H95" s="50">
        <v>4</v>
      </c>
      <c r="I95" s="50">
        <v>1</v>
      </c>
      <c r="J95" s="105" t="s">
        <v>305</v>
      </c>
      <c r="K95" s="27" t="s">
        <v>347</v>
      </c>
    </row>
    <row r="96" spans="1:11" ht="13.2" x14ac:dyDescent="0.25">
      <c r="A96" s="32"/>
      <c r="B96" s="27" t="s">
        <v>48</v>
      </c>
      <c r="C96" s="12" t="s">
        <v>350</v>
      </c>
      <c r="D96" s="27" t="s">
        <v>349</v>
      </c>
      <c r="E96" s="13" t="s">
        <v>57</v>
      </c>
      <c r="F96" s="13" t="s">
        <v>64</v>
      </c>
      <c r="G96" s="50">
        <v>3</v>
      </c>
      <c r="H96" s="50">
        <v>2</v>
      </c>
      <c r="I96" s="50">
        <f t="shared" si="4"/>
        <v>-1</v>
      </c>
      <c r="J96" s="106" t="s">
        <v>305</v>
      </c>
      <c r="K96" s="27" t="s">
        <v>351</v>
      </c>
    </row>
    <row r="97" spans="1:11" ht="13.2" x14ac:dyDescent="0.25">
      <c r="A97" s="130" t="s">
        <v>433</v>
      </c>
      <c r="B97" s="27" t="s">
        <v>48</v>
      </c>
      <c r="C97" s="12" t="s">
        <v>355</v>
      </c>
      <c r="D97" s="27" t="s">
        <v>352</v>
      </c>
      <c r="E97" s="13" t="s">
        <v>57</v>
      </c>
      <c r="F97" s="13" t="s">
        <v>62</v>
      </c>
      <c r="G97" s="50">
        <v>1</v>
      </c>
      <c r="H97" s="50">
        <v>1</v>
      </c>
      <c r="I97" s="50">
        <f t="shared" si="4"/>
        <v>0</v>
      </c>
      <c r="J97" s="105" t="s">
        <v>354</v>
      </c>
      <c r="K97" s="27" t="s">
        <v>353</v>
      </c>
    </row>
    <row r="98" spans="1:11" ht="13.2" x14ac:dyDescent="0.25">
      <c r="A98" s="32"/>
      <c r="B98" s="27" t="s">
        <v>48</v>
      </c>
      <c r="C98" s="12" t="s">
        <v>358</v>
      </c>
      <c r="D98" s="27" t="s">
        <v>356</v>
      </c>
      <c r="E98" s="13" t="s">
        <v>57</v>
      </c>
      <c r="F98" s="13" t="s">
        <v>63</v>
      </c>
      <c r="G98" s="50">
        <v>1</v>
      </c>
      <c r="H98" s="50">
        <v>3</v>
      </c>
      <c r="I98" s="50">
        <f t="shared" si="4"/>
        <v>2</v>
      </c>
      <c r="J98" s="105" t="s">
        <v>359</v>
      </c>
      <c r="K98" s="27" t="s">
        <v>357</v>
      </c>
    </row>
    <row r="99" spans="1:11" ht="13.2" x14ac:dyDescent="0.25">
      <c r="A99" s="32"/>
      <c r="B99" s="27" t="s">
        <v>48</v>
      </c>
      <c r="C99" s="12" t="s">
        <v>362</v>
      </c>
      <c r="D99" s="27" t="s">
        <v>360</v>
      </c>
      <c r="E99" s="13" t="s">
        <v>57</v>
      </c>
      <c r="F99" s="13" t="s">
        <v>63</v>
      </c>
      <c r="G99" s="50">
        <v>2</v>
      </c>
      <c r="H99" s="50">
        <v>2</v>
      </c>
      <c r="I99" s="50"/>
      <c r="J99" s="105" t="s">
        <v>363</v>
      </c>
      <c r="K99" s="27" t="s">
        <v>361</v>
      </c>
    </row>
    <row r="100" spans="1:11" ht="13.2" x14ac:dyDescent="0.25">
      <c r="A100" s="131" t="s">
        <v>434</v>
      </c>
      <c r="B100" s="27" t="s">
        <v>48</v>
      </c>
      <c r="C100" s="12" t="s">
        <v>366</v>
      </c>
      <c r="D100" s="27" t="s">
        <v>364</v>
      </c>
      <c r="E100" s="13" t="s">
        <v>57</v>
      </c>
      <c r="F100" s="13" t="s">
        <v>62</v>
      </c>
      <c r="G100" s="50">
        <v>3.5</v>
      </c>
      <c r="H100" s="50">
        <v>2</v>
      </c>
      <c r="I100" s="50"/>
      <c r="J100" s="105" t="s">
        <v>367</v>
      </c>
      <c r="K100" s="27" t="s">
        <v>365</v>
      </c>
    </row>
    <row r="101" spans="1:11" ht="13.2" x14ac:dyDescent="0.25">
      <c r="A101" s="132" t="s">
        <v>435</v>
      </c>
      <c r="B101" s="27" t="s">
        <v>48</v>
      </c>
      <c r="C101" s="12" t="s">
        <v>369</v>
      </c>
      <c r="D101" s="27" t="s">
        <v>368</v>
      </c>
      <c r="E101" s="13" t="s">
        <v>47</v>
      </c>
      <c r="F101" s="13" t="s">
        <v>63</v>
      </c>
      <c r="G101" s="50">
        <v>2</v>
      </c>
      <c r="H101" s="50">
        <v>3</v>
      </c>
      <c r="I101" s="50"/>
      <c r="J101" s="105" t="s">
        <v>373</v>
      </c>
      <c r="K101" s="27" t="s">
        <v>372</v>
      </c>
    </row>
    <row r="102" spans="1:11" ht="13.2" x14ac:dyDescent="0.25">
      <c r="A102" s="133" t="s">
        <v>436</v>
      </c>
      <c r="B102" s="27" t="s">
        <v>48</v>
      </c>
      <c r="C102" s="12" t="s">
        <v>375</v>
      </c>
      <c r="D102" s="27" t="s">
        <v>370</v>
      </c>
      <c r="E102" s="13" t="s">
        <v>47</v>
      </c>
      <c r="F102" s="13" t="s">
        <v>62</v>
      </c>
      <c r="G102" s="50">
        <v>3</v>
      </c>
      <c r="H102" s="50">
        <v>2</v>
      </c>
      <c r="I102" s="50"/>
      <c r="J102" s="105" t="s">
        <v>374</v>
      </c>
      <c r="K102" s="27" t="s">
        <v>371</v>
      </c>
    </row>
    <row r="103" spans="1:11" ht="13.2" x14ac:dyDescent="0.25">
      <c r="A103" s="32"/>
      <c r="B103" s="27" t="s">
        <v>48</v>
      </c>
      <c r="C103" s="12" t="s">
        <v>378</v>
      </c>
      <c r="D103" s="27" t="s">
        <v>376</v>
      </c>
      <c r="E103" s="13" t="s">
        <v>57</v>
      </c>
      <c r="F103" s="13" t="s">
        <v>62</v>
      </c>
      <c r="G103" s="50">
        <v>1</v>
      </c>
      <c r="H103" s="50">
        <v>0.5</v>
      </c>
      <c r="I103" s="50"/>
      <c r="J103" s="105" t="s">
        <v>379</v>
      </c>
      <c r="K103" s="27" t="s">
        <v>377</v>
      </c>
    </row>
    <row r="104" spans="1:11" ht="13.2" x14ac:dyDescent="0.25">
      <c r="A104" s="32"/>
      <c r="B104" s="27" t="s">
        <v>48</v>
      </c>
      <c r="C104" s="12" t="s">
        <v>381</v>
      </c>
      <c r="D104" s="27" t="s">
        <v>380</v>
      </c>
      <c r="E104" s="13" t="s">
        <v>57</v>
      </c>
      <c r="F104" s="13" t="s">
        <v>62</v>
      </c>
      <c r="G104" s="50">
        <v>1</v>
      </c>
      <c r="H104" s="50">
        <v>0.5</v>
      </c>
      <c r="I104" s="50"/>
      <c r="J104" s="105" t="s">
        <v>337</v>
      </c>
      <c r="K104" s="27" t="s">
        <v>382</v>
      </c>
    </row>
    <row r="105" spans="1:11" ht="13.2" x14ac:dyDescent="0.25">
      <c r="A105" s="32"/>
      <c r="B105" s="27" t="s">
        <v>48</v>
      </c>
      <c r="C105" s="12" t="s">
        <v>384</v>
      </c>
      <c r="D105" s="27" t="s">
        <v>385</v>
      </c>
      <c r="E105" s="13" t="s">
        <v>57</v>
      </c>
      <c r="F105" s="13" t="s">
        <v>63</v>
      </c>
      <c r="G105" s="50">
        <v>2</v>
      </c>
      <c r="H105" s="50">
        <v>2.5</v>
      </c>
      <c r="I105" s="50"/>
      <c r="J105" s="105" t="s">
        <v>151</v>
      </c>
      <c r="K105" s="27" t="s">
        <v>383</v>
      </c>
    </row>
    <row r="106" spans="1:11" ht="13.2" x14ac:dyDescent="0.25">
      <c r="A106" s="32"/>
      <c r="B106" s="27" t="s">
        <v>48</v>
      </c>
      <c r="C106" s="12" t="s">
        <v>388</v>
      </c>
      <c r="D106" s="27" t="s">
        <v>386</v>
      </c>
      <c r="E106" s="13" t="s">
        <v>57</v>
      </c>
      <c r="F106" s="13" t="s">
        <v>65</v>
      </c>
      <c r="G106" s="50">
        <v>4</v>
      </c>
      <c r="H106" s="50">
        <v>4</v>
      </c>
      <c r="I106" s="50"/>
      <c r="J106" s="107" t="s">
        <v>305</v>
      </c>
      <c r="K106" s="27" t="s">
        <v>387</v>
      </c>
    </row>
    <row r="107" spans="1:11" ht="13.2" x14ac:dyDescent="0.25">
      <c r="A107" s="32"/>
      <c r="B107" s="27" t="s">
        <v>48</v>
      </c>
      <c r="C107" s="12" t="s">
        <v>390</v>
      </c>
      <c r="D107" s="27" t="s">
        <v>389</v>
      </c>
      <c r="E107" s="13" t="s">
        <v>57</v>
      </c>
      <c r="F107" s="13" t="s">
        <v>62</v>
      </c>
      <c r="G107" s="50">
        <v>2</v>
      </c>
      <c r="H107" s="50">
        <v>2.5</v>
      </c>
      <c r="I107" s="50"/>
      <c r="J107" s="107" t="s">
        <v>305</v>
      </c>
      <c r="K107" s="27" t="s">
        <v>391</v>
      </c>
    </row>
    <row r="108" spans="1:11" ht="13.2" x14ac:dyDescent="0.25">
      <c r="A108" s="18"/>
      <c r="B108" s="20"/>
      <c r="C108" s="20"/>
      <c r="D108" s="20"/>
      <c r="E108" s="53" t="s">
        <v>15</v>
      </c>
      <c r="F108" s="20"/>
      <c r="G108" s="53">
        <f>SUM(G90:G107)</f>
        <v>40.5</v>
      </c>
      <c r="H108" s="53">
        <f>SUM(H90:H107)</f>
        <v>39</v>
      </c>
      <c r="I108" s="53">
        <f t="shared" si="4"/>
        <v>-1.5</v>
      </c>
      <c r="J108" s="24"/>
      <c r="K108" s="20"/>
    </row>
    <row r="109" spans="1:11" ht="18.75" customHeight="1" x14ac:dyDescent="0.25">
      <c r="A109" s="78" t="s">
        <v>21</v>
      </c>
      <c r="B109" s="76"/>
      <c r="C109" s="76"/>
      <c r="D109" s="76"/>
      <c r="E109" s="76"/>
      <c r="F109" s="76"/>
      <c r="G109" s="76"/>
      <c r="H109" s="76"/>
      <c r="I109" s="76"/>
      <c r="J109" s="76"/>
      <c r="K109" s="77"/>
    </row>
    <row r="110" spans="1:11" ht="13.2" x14ac:dyDescent="0.25">
      <c r="A110" s="37" t="s">
        <v>11</v>
      </c>
      <c r="B110" s="79" t="s">
        <v>12</v>
      </c>
      <c r="C110" s="76"/>
      <c r="D110" s="76"/>
      <c r="E110" s="76"/>
      <c r="F110" s="76"/>
      <c r="G110" s="76"/>
      <c r="H110" s="76"/>
      <c r="I110" s="76"/>
      <c r="J110" s="76"/>
      <c r="K110" s="77"/>
    </row>
    <row r="111" spans="1:11" ht="27.75" customHeight="1" x14ac:dyDescent="0.25">
      <c r="A111" s="38" t="s">
        <v>13</v>
      </c>
      <c r="B111" s="79" t="s">
        <v>14</v>
      </c>
      <c r="C111" s="76"/>
      <c r="D111" s="76"/>
      <c r="E111" s="76"/>
      <c r="F111" s="76"/>
      <c r="G111" s="76"/>
      <c r="H111" s="76"/>
      <c r="I111" s="76"/>
      <c r="J111" s="76"/>
      <c r="K111" s="77"/>
    </row>
    <row r="112" spans="1:11" ht="13.2" x14ac:dyDescent="0.25">
      <c r="A112" s="48" t="s">
        <v>68</v>
      </c>
      <c r="B112" s="27" t="s">
        <v>48</v>
      </c>
      <c r="C112" s="51" t="s">
        <v>76</v>
      </c>
      <c r="D112" s="54" t="s">
        <v>82</v>
      </c>
      <c r="E112" s="13" t="s">
        <v>54</v>
      </c>
      <c r="F112" s="13" t="s">
        <v>39</v>
      </c>
      <c r="G112" s="50">
        <v>0</v>
      </c>
      <c r="H112" s="50">
        <v>0</v>
      </c>
      <c r="I112" s="50">
        <f t="shared" ref="I112:I121" si="5">H112-G112</f>
        <v>0</v>
      </c>
      <c r="J112" s="138"/>
      <c r="K112" s="113" t="s">
        <v>455</v>
      </c>
    </row>
    <row r="113" spans="1:11" ht="13.8" x14ac:dyDescent="0.25">
      <c r="A113" s="134" t="s">
        <v>437</v>
      </c>
      <c r="B113" s="27" t="s">
        <v>48</v>
      </c>
      <c r="C113" s="12" t="s">
        <v>394</v>
      </c>
      <c r="D113" s="27" t="s">
        <v>392</v>
      </c>
      <c r="E113" s="13" t="s">
        <v>47</v>
      </c>
      <c r="F113" s="13" t="s">
        <v>62</v>
      </c>
      <c r="G113" s="50">
        <v>2</v>
      </c>
      <c r="H113" s="50">
        <v>2</v>
      </c>
      <c r="I113" s="50">
        <f t="shared" si="5"/>
        <v>0</v>
      </c>
      <c r="J113" s="139" t="s">
        <v>401</v>
      </c>
      <c r="K113" s="27" t="s">
        <v>393</v>
      </c>
    </row>
    <row r="114" spans="1:11" ht="13.8" x14ac:dyDescent="0.25">
      <c r="A114" s="32"/>
      <c r="B114" s="27" t="s">
        <v>48</v>
      </c>
      <c r="C114" s="12" t="s">
        <v>397</v>
      </c>
      <c r="D114" s="27" t="s">
        <v>395</v>
      </c>
      <c r="E114" s="13" t="s">
        <v>47</v>
      </c>
      <c r="F114" s="13" t="s">
        <v>64</v>
      </c>
      <c r="G114" s="50">
        <v>4</v>
      </c>
      <c r="H114" s="50">
        <v>4</v>
      </c>
      <c r="I114" s="50">
        <f t="shared" si="5"/>
        <v>0</v>
      </c>
      <c r="J114" s="139" t="s">
        <v>402</v>
      </c>
      <c r="K114" s="27" t="s">
        <v>396</v>
      </c>
    </row>
    <row r="115" spans="1:11" ht="13.8" x14ac:dyDescent="0.25">
      <c r="A115" s="135" t="s">
        <v>438</v>
      </c>
      <c r="B115" s="27" t="s">
        <v>48</v>
      </c>
      <c r="C115" s="12" t="s">
        <v>399</v>
      </c>
      <c r="D115" s="27" t="s">
        <v>398</v>
      </c>
      <c r="E115" s="13" t="s">
        <v>57</v>
      </c>
      <c r="F115" s="13" t="s">
        <v>65</v>
      </c>
      <c r="G115" s="50">
        <v>3</v>
      </c>
      <c r="H115" s="50">
        <v>3.5</v>
      </c>
      <c r="I115" s="50">
        <f t="shared" si="5"/>
        <v>0.5</v>
      </c>
      <c r="J115" s="139" t="s">
        <v>151</v>
      </c>
      <c r="K115" s="27" t="s">
        <v>400</v>
      </c>
    </row>
    <row r="116" spans="1:11" ht="13.8" x14ac:dyDescent="0.25">
      <c r="A116" s="32"/>
      <c r="B116" s="27" t="s">
        <v>48</v>
      </c>
      <c r="C116" s="12" t="s">
        <v>408</v>
      </c>
      <c r="D116" s="27" t="s">
        <v>407</v>
      </c>
      <c r="E116" s="13" t="s">
        <v>57</v>
      </c>
      <c r="F116" s="13" t="s">
        <v>62</v>
      </c>
      <c r="G116" s="50">
        <v>2</v>
      </c>
      <c r="H116" s="50">
        <v>4</v>
      </c>
      <c r="I116" s="50">
        <f t="shared" si="5"/>
        <v>2</v>
      </c>
      <c r="J116" s="139" t="s">
        <v>410</v>
      </c>
      <c r="K116" s="27" t="s">
        <v>409</v>
      </c>
    </row>
    <row r="117" spans="1:11" ht="13.8" x14ac:dyDescent="0.25">
      <c r="A117" s="32"/>
      <c r="B117" s="27" t="s">
        <v>48</v>
      </c>
      <c r="C117" s="12" t="s">
        <v>103</v>
      </c>
      <c r="D117" s="27" t="s">
        <v>411</v>
      </c>
      <c r="E117" s="13" t="s">
        <v>57</v>
      </c>
      <c r="F117" s="13" t="s">
        <v>66</v>
      </c>
      <c r="G117" s="50">
        <v>5</v>
      </c>
      <c r="H117" s="50">
        <v>4</v>
      </c>
      <c r="I117" s="50">
        <f t="shared" si="5"/>
        <v>-1</v>
      </c>
      <c r="J117" s="139" t="s">
        <v>103</v>
      </c>
      <c r="K117" s="27" t="s">
        <v>412</v>
      </c>
    </row>
    <row r="118" spans="1:11" ht="13.2" x14ac:dyDescent="0.25">
      <c r="A118" s="136" t="s">
        <v>439</v>
      </c>
      <c r="B118" s="27" t="s">
        <v>48</v>
      </c>
      <c r="C118" s="12" t="s">
        <v>399</v>
      </c>
      <c r="D118" s="27" t="s">
        <v>413</v>
      </c>
      <c r="E118" s="13" t="s">
        <v>57</v>
      </c>
      <c r="F118" s="13" t="s">
        <v>66</v>
      </c>
      <c r="G118" s="50">
        <v>6</v>
      </c>
      <c r="H118" s="50">
        <v>6</v>
      </c>
      <c r="I118" s="50">
        <f t="shared" si="5"/>
        <v>0</v>
      </c>
      <c r="J118" s="66" t="s">
        <v>415</v>
      </c>
      <c r="K118" s="27" t="s">
        <v>414</v>
      </c>
    </row>
    <row r="119" spans="1:11" ht="13.8" x14ac:dyDescent="0.25">
      <c r="A119" s="32"/>
      <c r="B119" s="27" t="s">
        <v>48</v>
      </c>
      <c r="C119" s="12" t="s">
        <v>425</v>
      </c>
      <c r="D119" s="27" t="s">
        <v>418</v>
      </c>
      <c r="E119" s="13" t="s">
        <v>57</v>
      </c>
      <c r="F119" s="13" t="s">
        <v>62</v>
      </c>
      <c r="G119" s="50">
        <v>3</v>
      </c>
      <c r="H119" s="50">
        <v>4</v>
      </c>
      <c r="I119" s="50">
        <f t="shared" si="5"/>
        <v>1</v>
      </c>
      <c r="J119" s="139" t="s">
        <v>420</v>
      </c>
      <c r="K119" s="27" t="s">
        <v>419</v>
      </c>
    </row>
    <row r="120" spans="1:11" ht="13.2" x14ac:dyDescent="0.25">
      <c r="A120" s="32"/>
      <c r="B120" s="27" t="s">
        <v>48</v>
      </c>
      <c r="C120" s="12" t="s">
        <v>406</v>
      </c>
      <c r="D120" s="27"/>
      <c r="E120" s="13" t="s">
        <v>57</v>
      </c>
      <c r="F120" s="13" t="s">
        <v>62</v>
      </c>
      <c r="G120" s="50">
        <v>2</v>
      </c>
      <c r="H120" s="50">
        <v>2</v>
      </c>
      <c r="I120" s="50">
        <f t="shared" si="5"/>
        <v>0</v>
      </c>
      <c r="J120" s="66" t="s">
        <v>103</v>
      </c>
      <c r="K120" s="27"/>
    </row>
    <row r="121" spans="1:11" ht="13.2" x14ac:dyDescent="0.25">
      <c r="A121" s="18"/>
      <c r="B121" s="20"/>
      <c r="C121" s="20"/>
      <c r="D121" s="20"/>
      <c r="E121" s="53" t="s">
        <v>15</v>
      </c>
      <c r="F121" s="20"/>
      <c r="G121" s="53">
        <f>SUM(G112:G120)</f>
        <v>27</v>
      </c>
      <c r="H121" s="53">
        <f>SUM(H112:H120)</f>
        <v>29.5</v>
      </c>
      <c r="I121" s="53">
        <f t="shared" si="5"/>
        <v>2.5</v>
      </c>
      <c r="J121" s="24"/>
      <c r="K121" s="20"/>
    </row>
    <row r="122" spans="1:11" ht="18.75" customHeight="1" x14ac:dyDescent="0.25">
      <c r="A122" s="80" t="s">
        <v>22</v>
      </c>
      <c r="B122" s="76"/>
      <c r="C122" s="76"/>
      <c r="D122" s="76"/>
      <c r="E122" s="76"/>
      <c r="F122" s="76"/>
      <c r="G122" s="76"/>
      <c r="H122" s="76"/>
      <c r="I122" s="76"/>
      <c r="J122" s="76"/>
      <c r="K122" s="77"/>
    </row>
    <row r="123" spans="1:11" ht="13.2" x14ac:dyDescent="0.25">
      <c r="A123" s="39" t="s">
        <v>11</v>
      </c>
      <c r="B123" s="81" t="s">
        <v>12</v>
      </c>
      <c r="C123" s="76"/>
      <c r="D123" s="76"/>
      <c r="E123" s="76"/>
      <c r="F123" s="76"/>
      <c r="G123" s="76"/>
      <c r="H123" s="76"/>
      <c r="I123" s="76"/>
      <c r="J123" s="76"/>
      <c r="K123" s="77"/>
    </row>
    <row r="124" spans="1:11" ht="28.5" customHeight="1" x14ac:dyDescent="0.25">
      <c r="A124" s="40" t="s">
        <v>13</v>
      </c>
      <c r="B124" s="81" t="s">
        <v>14</v>
      </c>
      <c r="C124" s="76"/>
      <c r="D124" s="76"/>
      <c r="E124" s="76"/>
      <c r="F124" s="76"/>
      <c r="G124" s="76"/>
      <c r="H124" s="76"/>
      <c r="I124" s="76"/>
      <c r="J124" s="76"/>
      <c r="K124" s="77"/>
    </row>
    <row r="125" spans="1:11" ht="13.2" x14ac:dyDescent="0.25">
      <c r="A125" s="48" t="s">
        <v>68</v>
      </c>
      <c r="B125" s="27" t="s">
        <v>48</v>
      </c>
      <c r="C125" s="51" t="s">
        <v>77</v>
      </c>
      <c r="D125" s="54" t="s">
        <v>83</v>
      </c>
      <c r="E125" s="13" t="s">
        <v>54</v>
      </c>
      <c r="F125" s="13"/>
      <c r="G125" s="29"/>
      <c r="H125" s="29"/>
      <c r="I125" s="50">
        <f t="shared" ref="I125:I129" si="6">H125-G125</f>
        <v>0</v>
      </c>
      <c r="J125" s="28"/>
      <c r="K125" s="27"/>
    </row>
    <row r="126" spans="1:11" ht="13.2" x14ac:dyDescent="0.25">
      <c r="A126" s="32"/>
      <c r="B126" s="27" t="s">
        <v>48</v>
      </c>
      <c r="C126" s="12" t="s">
        <v>425</v>
      </c>
      <c r="D126" s="27" t="s">
        <v>452</v>
      </c>
      <c r="E126" s="13" t="s">
        <v>57</v>
      </c>
      <c r="F126" s="13" t="s">
        <v>61</v>
      </c>
      <c r="G126" s="50">
        <v>1</v>
      </c>
      <c r="H126" s="50">
        <v>1</v>
      </c>
      <c r="I126" s="50">
        <f t="shared" si="6"/>
        <v>0</v>
      </c>
      <c r="J126" s="137" t="s">
        <v>449</v>
      </c>
      <c r="K126" s="27"/>
    </row>
    <row r="127" spans="1:11" ht="13.2" x14ac:dyDescent="0.25">
      <c r="A127" s="32"/>
      <c r="B127" s="27" t="s">
        <v>48</v>
      </c>
      <c r="C127" s="12" t="s">
        <v>425</v>
      </c>
      <c r="D127" s="140" t="s">
        <v>453</v>
      </c>
      <c r="E127" s="13" t="s">
        <v>57</v>
      </c>
      <c r="F127" s="13" t="s">
        <v>61</v>
      </c>
      <c r="G127" s="50">
        <v>1</v>
      </c>
      <c r="H127" s="50">
        <v>1</v>
      </c>
      <c r="I127" s="50">
        <f t="shared" si="6"/>
        <v>0</v>
      </c>
      <c r="J127" s="137" t="s">
        <v>450</v>
      </c>
      <c r="K127" s="27"/>
    </row>
    <row r="128" spans="1:11" ht="13.2" x14ac:dyDescent="0.25">
      <c r="A128" s="32"/>
      <c r="B128" s="27" t="s">
        <v>48</v>
      </c>
      <c r="C128" s="12" t="s">
        <v>425</v>
      </c>
      <c r="D128" s="27" t="s">
        <v>454</v>
      </c>
      <c r="E128" s="13" t="s">
        <v>57</v>
      </c>
      <c r="F128" s="13" t="s">
        <v>61</v>
      </c>
      <c r="G128" s="50">
        <v>1</v>
      </c>
      <c r="H128" s="50">
        <v>1</v>
      </c>
      <c r="I128" s="50">
        <f t="shared" si="6"/>
        <v>0</v>
      </c>
      <c r="J128" s="137" t="s">
        <v>451</v>
      </c>
      <c r="K128" s="27"/>
    </row>
    <row r="129" spans="1:11" ht="13.2" x14ac:dyDescent="0.25">
      <c r="A129" s="18"/>
      <c r="B129" s="20"/>
      <c r="C129" s="20"/>
      <c r="D129" s="20"/>
      <c r="E129" s="53" t="s">
        <v>15</v>
      </c>
      <c r="F129" s="20"/>
      <c r="G129" s="53">
        <f>SUM(G125:G128)</f>
        <v>3</v>
      </c>
      <c r="H129" s="53">
        <f>SUM(H125:H128)</f>
        <v>3</v>
      </c>
      <c r="I129" s="53">
        <f t="shared" si="6"/>
        <v>0</v>
      </c>
      <c r="J129" s="24"/>
      <c r="K129" s="20"/>
    </row>
    <row r="130" spans="1:11" ht="13.2" x14ac:dyDescent="0.25">
      <c r="A130" s="84" t="s">
        <v>23</v>
      </c>
      <c r="B130" s="76"/>
      <c r="C130" s="76"/>
      <c r="D130" s="76"/>
      <c r="E130" s="76"/>
      <c r="F130" s="76"/>
      <c r="G130" s="76"/>
      <c r="H130" s="76"/>
      <c r="I130" s="76"/>
      <c r="J130" s="76"/>
      <c r="K130" s="77"/>
    </row>
    <row r="131" spans="1:11" ht="13.2" x14ac:dyDescent="0.25">
      <c r="A131" s="41" t="s">
        <v>11</v>
      </c>
      <c r="B131" s="71" t="s">
        <v>12</v>
      </c>
      <c r="C131" s="72"/>
      <c r="D131" s="72"/>
      <c r="E131" s="72"/>
      <c r="F131" s="72"/>
      <c r="G131" s="72"/>
      <c r="H131" s="72"/>
      <c r="I131" s="72"/>
      <c r="J131" s="72"/>
      <c r="K131" s="73"/>
    </row>
    <row r="132" spans="1:11" ht="27.75" customHeight="1" x14ac:dyDescent="0.25">
      <c r="A132" s="42" t="s">
        <v>13</v>
      </c>
      <c r="B132" s="74" t="s">
        <v>14</v>
      </c>
      <c r="C132" s="72"/>
      <c r="D132" s="72"/>
      <c r="E132" s="72"/>
      <c r="F132" s="72"/>
      <c r="G132" s="72"/>
      <c r="H132" s="72"/>
      <c r="I132" s="72"/>
      <c r="J132" s="72"/>
      <c r="K132" s="73"/>
    </row>
    <row r="133" spans="1:11" ht="13.2" x14ac:dyDescent="0.25">
      <c r="A133" s="48" t="s">
        <v>68</v>
      </c>
      <c r="B133" s="27" t="s">
        <v>48</v>
      </c>
      <c r="C133" s="51" t="s">
        <v>78</v>
      </c>
      <c r="D133" s="55" t="s">
        <v>84</v>
      </c>
      <c r="E133" s="13" t="s">
        <v>54</v>
      </c>
      <c r="F133" s="13"/>
      <c r="G133" s="50">
        <v>0</v>
      </c>
      <c r="H133" s="50">
        <v>0</v>
      </c>
      <c r="I133" s="50">
        <f t="shared" ref="I133:I138" si="7">H133-G133</f>
        <v>0</v>
      </c>
      <c r="J133" s="28"/>
      <c r="K133" s="27"/>
    </row>
    <row r="134" spans="1:11" ht="13.2" x14ac:dyDescent="0.25">
      <c r="A134" s="32">
        <v>38450</v>
      </c>
      <c r="B134" s="27" t="s">
        <v>48</v>
      </c>
      <c r="C134" s="12" t="s">
        <v>445</v>
      </c>
      <c r="D134" s="27" t="s">
        <v>444</v>
      </c>
      <c r="E134" s="13" t="s">
        <v>57</v>
      </c>
      <c r="F134" s="13" t="s">
        <v>61</v>
      </c>
      <c r="G134" s="50">
        <v>1</v>
      </c>
      <c r="H134" s="50">
        <v>1</v>
      </c>
      <c r="I134" s="50">
        <f t="shared" si="7"/>
        <v>0</v>
      </c>
      <c r="J134" s="28"/>
      <c r="K134" s="27"/>
    </row>
    <row r="135" spans="1:11" ht="13.2" x14ac:dyDescent="0.25">
      <c r="A135" s="32" t="s">
        <v>448</v>
      </c>
      <c r="B135" s="27" t="s">
        <v>48</v>
      </c>
      <c r="C135" s="12" t="s">
        <v>446</v>
      </c>
      <c r="D135" s="27" t="s">
        <v>443</v>
      </c>
      <c r="E135" s="13" t="s">
        <v>57</v>
      </c>
      <c r="F135" s="13" t="s">
        <v>62</v>
      </c>
      <c r="G135" s="50">
        <v>2</v>
      </c>
      <c r="H135" s="50">
        <v>2</v>
      </c>
      <c r="I135" s="50">
        <f t="shared" si="7"/>
        <v>0</v>
      </c>
      <c r="J135" s="28"/>
      <c r="K135" s="27"/>
    </row>
    <row r="136" spans="1:11" ht="13.2" x14ac:dyDescent="0.25">
      <c r="A136" s="32">
        <v>45757</v>
      </c>
      <c r="B136" s="27" t="s">
        <v>48</v>
      </c>
      <c r="C136" s="12" t="s">
        <v>447</v>
      </c>
      <c r="D136" s="27" t="s">
        <v>442</v>
      </c>
      <c r="E136" s="13" t="s">
        <v>57</v>
      </c>
      <c r="F136" s="13" t="s">
        <v>61</v>
      </c>
      <c r="G136" s="50">
        <v>2</v>
      </c>
      <c r="H136" s="50">
        <v>2</v>
      </c>
      <c r="I136" s="50">
        <f t="shared" si="7"/>
        <v>0</v>
      </c>
      <c r="J136" s="28"/>
      <c r="K136" s="27"/>
    </row>
    <row r="137" spans="1:11" ht="13.2" x14ac:dyDescent="0.25">
      <c r="A137" s="32">
        <v>45758</v>
      </c>
      <c r="B137" s="27" t="s">
        <v>48</v>
      </c>
      <c r="C137" s="12" t="s">
        <v>440</v>
      </c>
      <c r="D137" s="27" t="s">
        <v>441</v>
      </c>
      <c r="E137" s="13" t="s">
        <v>57</v>
      </c>
      <c r="F137" s="13" t="s">
        <v>62</v>
      </c>
      <c r="G137" s="50">
        <v>1</v>
      </c>
      <c r="H137" s="50">
        <v>1</v>
      </c>
      <c r="I137" s="50">
        <f t="shared" si="7"/>
        <v>0</v>
      </c>
      <c r="J137" s="28"/>
      <c r="K137" s="27"/>
    </row>
    <row r="138" spans="1:11" ht="13.2" x14ac:dyDescent="0.25">
      <c r="A138" s="18"/>
      <c r="B138" s="20"/>
      <c r="C138" s="20"/>
      <c r="D138" s="20"/>
      <c r="E138" s="53" t="s">
        <v>15</v>
      </c>
      <c r="F138" s="20"/>
      <c r="G138" s="23">
        <f>SUM(G133:G137)</f>
        <v>6</v>
      </c>
      <c r="H138" s="23">
        <f>SUM(H133:H137)</f>
        <v>6</v>
      </c>
      <c r="I138" s="23">
        <f t="shared" si="7"/>
        <v>0</v>
      </c>
      <c r="J138" s="24"/>
      <c r="K138" s="20"/>
    </row>
    <row r="139" spans="1:11" ht="13.2" x14ac:dyDescent="0.25">
      <c r="G139" s="43"/>
      <c r="H139" s="43"/>
      <c r="I139" s="29"/>
    </row>
    <row r="140" spans="1:11" ht="13.2" x14ac:dyDescent="0.25">
      <c r="E140" s="44" t="s">
        <v>24</v>
      </c>
      <c r="F140" s="44"/>
      <c r="G140" s="45">
        <f>G22+G44+G70+G86+G108+G121+G129+G138</f>
        <v>198.5</v>
      </c>
      <c r="H140" s="45">
        <f>H22+H44+H70+H86+H108+H121+H129+H138</f>
        <v>216.5</v>
      </c>
      <c r="I140" s="45">
        <f>H140-G140</f>
        <v>18</v>
      </c>
    </row>
  </sheetData>
  <autoFilter ref="A1:K22" xr:uid="{00000000-0009-0000-0000-000000000000}"/>
  <customSheetViews>
    <customSheetView guid="{8BAC9A6B-5D32-4E8D-967D-E17D357516F8}" filter="1" showAutoFilter="1">
      <pageMargins left="0" right="0" top="0" bottom="0" header="0" footer="0"/>
      <autoFilter ref="A1:K15" xr:uid="{761C7EB1-4011-43D1-BE37-6EC59467CB45}">
        <filterColumn colId="1">
          <filters blank="1">
            <filter val="- Weekplan item 1_x000a_- Weekplan item 2_x000a_- Weekplan item 3_x000a_- etc"/>
            <filter val="[Enter known possible issues that are a risk for you to finish the high level week planning]"/>
          </filters>
        </filterColumn>
      </autoFilter>
    </customSheetView>
  </customSheetViews>
  <mergeCells count="24">
    <mergeCell ref="A2:K2"/>
    <mergeCell ref="B3:K3"/>
    <mergeCell ref="B4:K4"/>
    <mergeCell ref="A23:K23"/>
    <mergeCell ref="B24:K24"/>
    <mergeCell ref="B25:K25"/>
    <mergeCell ref="A45:K45"/>
    <mergeCell ref="B46:K46"/>
    <mergeCell ref="B47:K47"/>
    <mergeCell ref="A71:K71"/>
    <mergeCell ref="B72:K72"/>
    <mergeCell ref="B73:K73"/>
    <mergeCell ref="A87:K87"/>
    <mergeCell ref="B88:K88"/>
    <mergeCell ref="A130:K130"/>
    <mergeCell ref="B131:K131"/>
    <mergeCell ref="B132:K132"/>
    <mergeCell ref="B89:K89"/>
    <mergeCell ref="A109:K109"/>
    <mergeCell ref="B110:K110"/>
    <mergeCell ref="B111:K111"/>
    <mergeCell ref="A122:K122"/>
    <mergeCell ref="B123:K123"/>
    <mergeCell ref="B124:K124"/>
  </mergeCells>
  <phoneticPr fontId="29" type="noConversion"/>
  <conditionalFormatting sqref="B5:B21 B24:B43 B90:B107 B112:B120 B48:B69 B74:B85 B133:B137 B125:B128">
    <cfRule type="containsText" dxfId="14" priority="1" operator="containsText" text="Unplanned">
      <formula>NOT(ISERROR(SEARCH(("Unplanned"),(B5))))</formula>
    </cfRule>
    <cfRule type="containsText" dxfId="13" priority="2" operator="containsText" text="Planned">
      <formula>NOT(ISERROR(SEARCH(("Planned"),(B5))))</formula>
    </cfRule>
    <cfRule type="containsText" dxfId="12" priority="3" operator="containsText" text="In-Progress">
      <formula>NOT(ISERROR(SEARCH(("In-Progress"),(B5))))</formula>
    </cfRule>
    <cfRule type="containsText" dxfId="11" priority="4" operator="containsText" text="Blocked">
      <formula>NOT(ISERROR(SEARCH(("Blocked"),(B5))))</formula>
    </cfRule>
    <cfRule type="containsText" dxfId="10" priority="5" operator="containsText" text="Done">
      <formula>NOT(ISERROR(SEARCH(("Done"),(B5))))</formula>
    </cfRule>
  </conditionalFormatting>
  <conditionalFormatting sqref="B5:B22 B24:B44 B46:B70 B72:B86 B88:B108 B110:B121 B131:B137 B123:B129">
    <cfRule type="containsText" dxfId="9" priority="6" operator="containsText" text="Unplanned">
      <formula>NOT(ISERROR(SEARCH(("Unplanned"),(B5))))</formula>
    </cfRule>
    <cfRule type="containsText" dxfId="8" priority="7" operator="containsText" text="Cancelled">
      <formula>NOT(ISERROR(SEARCH(("Cancelled"),(B5))))</formula>
    </cfRule>
  </conditionalFormatting>
  <conditionalFormatting sqref="G1 G3:G22 G26 G28:G44 G48:G70 G74:G86 G90:G108 G112:G121 G133:G140 G125:G129">
    <cfRule type="cellIs" dxfId="7" priority="10" operator="greaterThan">
      <formula>4</formula>
    </cfRule>
  </conditionalFormatting>
  <conditionalFormatting sqref="H1:H92 H94:H140">
    <cfRule type="containsBlanks" dxfId="6" priority="11">
      <formula>LEN(TRIM(H1))=0</formula>
    </cfRule>
  </conditionalFormatting>
  <conditionalFormatting sqref="I5:I18 I21:I22 I48:I70 I74:I86 I26:I35 I38:I40 I42:I44 I112:I121 I90:I108 I133:I140 I125:I129">
    <cfRule type="expression" dxfId="5" priority="8">
      <formula>H5/G5&gt;=1.5</formula>
    </cfRule>
    <cfRule type="expression" dxfId="4" priority="9">
      <formula>H5/G5&lt;=0.5</formula>
    </cfRule>
  </conditionalFormatting>
  <conditionalFormatting sqref="I19:I20">
    <cfRule type="expression" dxfId="3" priority="14">
      <formula>H21/G21&gt;=1.5</formula>
    </cfRule>
    <cfRule type="expression" dxfId="2" priority="15">
      <formula>H21/G21&lt;=0.5</formula>
    </cfRule>
  </conditionalFormatting>
  <conditionalFormatting sqref="I36 I41">
    <cfRule type="expression" dxfId="1" priority="18">
      <formula>H37/G37&gt;=1.5</formula>
    </cfRule>
    <cfRule type="expression" dxfId="0" priority="19">
      <formula>H37/G37&lt;=0.5</formula>
    </cfRule>
  </conditionalFormatting>
  <hyperlinks>
    <hyperlink ref="J6" r:id="rId1" xr:uid="{DCF64C00-5922-4E7D-BA61-D5851658A47A}"/>
    <hyperlink ref="J7" r:id="rId2" xr:uid="{B605DE19-8493-42CE-BFC6-B321D3AB3F95}"/>
    <hyperlink ref="J8" r:id="rId3" xr:uid="{E18A089C-F2D4-4A65-946C-A0E638982F8E}"/>
    <hyperlink ref="J9" r:id="rId4" xr:uid="{CBD5EADB-4052-49F1-B682-A31D374A129E}"/>
    <hyperlink ref="J12" r:id="rId5" display="Designing Human-Centered AI Products" xr:uid="{5964EB87-734B-435D-94F0-9331D959AF69}"/>
    <hyperlink ref="J13" r:id="rId6" xr:uid="{61D33902-0926-46C0-9FB0-FD02A6C75C45}"/>
    <hyperlink ref="J14" r:id="rId7" xr:uid="{B53868EE-AE9C-4404-8745-68E9E6A77AE3}"/>
    <hyperlink ref="J15" r:id="rId8" xr:uid="{940D2503-FDE1-4C4D-9227-421640280C90}"/>
    <hyperlink ref="J17" r:id="rId9" xr:uid="{188BBD9C-DFC4-41F0-89A4-512BACFD53D8}"/>
    <hyperlink ref="J16" r:id="rId10" xr:uid="{4D281B4D-10F0-463C-A956-302489F476D6}"/>
    <hyperlink ref="J18" r:id="rId11" xr:uid="{4BDB79F9-4D9E-45D9-8180-D24CC256A536}"/>
    <hyperlink ref="J19" r:id="rId12" xr:uid="{36065C7B-AF2E-4880-A629-CE60216485E6}"/>
    <hyperlink ref="J21" r:id="rId13" xr:uid="{670F24B4-54F8-48B1-8245-A18B6899D63E}"/>
    <hyperlink ref="J20" r:id="rId14" xr:uid="{4B77716C-1268-4BBD-B228-B7E1999A0F1D}"/>
    <hyperlink ref="J27" r:id="rId15" xr:uid="{32053424-F500-40D9-BEF3-3DF4889AA180}"/>
    <hyperlink ref="J28" r:id="rId16" xr:uid="{07E7F879-B3CF-4482-A85A-423ADBDD7F62}"/>
    <hyperlink ref="J29" r:id="rId17" xr:uid="{2014F7A8-74BB-4548-AC20-DAFB05E5B920}"/>
    <hyperlink ref="J30" r:id="rId18" xr:uid="{63F06754-DF8D-44A2-B9E3-B24D3154A5F0}"/>
    <hyperlink ref="J31" r:id="rId19" xr:uid="{45C70CE6-80DD-4C45-B54A-04117ACFCC33}"/>
    <hyperlink ref="J35" r:id="rId20" xr:uid="{51F48979-F87C-4F14-8E69-DF3C4331D4CC}"/>
    <hyperlink ref="J34" r:id="rId21" location="R7T1pl9q22r%2BGc9sPw7ENNvBxMkva9zZNmuS2Tb%2FkCCNAHWMR2R5m%2Butf7ZZlAYYxWzq995wMXmRJz76q07tZPL0lYDl%2Fhycw6QTe5KnTu%2B0EQRiEHv2HXXkWV3pRvyeuzAiaiGt%2BeeET%2BgfKi%2FLFWYEmMKs8mGOc5GgpL8rnYpymMM4rDwJC8Kr67hQn1a8uwQzWLnyKQVK%2F%2Bgea5HN5te955Y2fIJrN5afphOSdBVBPywvZHEzwyrjUu%2Bv0bgjGufhr8XQDE7Z9amPEe%2Fdr7uqZEZjmTV54%2F79xz%2F%2Fvu0kfTUfBY3h9%2Fb8%2Ff78KQjm5%2FFktGU7oDsifmORzPMMpSO7Kq28ILtIJZMN69Ff5zC8YL%2BlFn178G%2Bb5swQnKHJML83zRSLvTnGay5s%2B%2B11filxdhgsSy3ndRZP3b8n8n%2Bn1%2F4Gnr6u7L%2FH%2F7q4iiROAzGC%2BYZ0j8Rxbm%2FEBuVFvIV7AnDzTBwhMQI4eq9AHEolm%2Bjn96geM6JQDT2L8VdAb%2BV3PG%2Bn%2FhmIIif9X%2FjDyqoOKJcpxSvDRP4yJlZc4UHcBsNyhR5AUclVfKEG5gP4LGFPyrQAKJGiW0r9jChhI6IVHSHJEyeNa3ligyUTgBMzQP2DMx2NYsWQL4ksM33TC20ZA34ih7MvwqQIXSfTyqxWyqgBVAcfr9r3IrwBE%2Fnop2KuD9qvv4%2Bk0gwcBru87AXlg6qXwIs9%2Fsve7ofr5RQ7Hf9w%2BVX49q19PKP%2FT%2BPtLOQT9Vb7Efqh32uMUQUNOMTgIp7gmBDwbD0jy2MBI%2Br2RzTp8z0IiMeo6nOwNQ2uEqH8w5vPb8nqw8ryf4fiP%2Ba%2BT0Yfr94M3V%2F3BhTMfRWCtMJ%2FB0LMA0m%2BF%2B%2FSqo7bAffD4b6ZMBV4ioHLLXw%2B2sqO%2BMUmJH5fFmvxzYU3O5%2FpHUmL8kVJSDM5hDbOGczgYmbd9MLHyPdgQ%2FSlxdRepqTSKkiv9ii%2BJKfXbYkpe1xv1eu2oQIPR0bQerwa%2FThAldMvejCswjL4VzLji%2B3yV8Y2%2Bpg%2F4%2FvKJ77a6T%2F%2BasX%2FvvhWA8yyY0E1EOBXQQPmzGp%2FOd6yermFMyb0YMFdzlMNPS8Apf0XNY8sEQklygxNM%2BLu9acj%2BR69nOcEP0LgT8f%2FkKozr4r9d%2BFANX9YLqyAaBBbR%2BoFElFXFDhbX5oYJ3PPW404FFTbLG0WSm1FhcHKJs4dSu6%2BUsiGtPQrs5t%2FFYqnWmuKULS57gHk8l%2Ff3F0%2FK77JNPAUNxVOpEfV8P2qH%2B%2Fgjz5YyA3uYxiLLMVg0aCaydtfzvUFkfWvk%2BRatbNLzrXntw3b3kqLBaWzPPRS1tshtfwrq1SnoiLany7iM%2Bpu9VIMje6mCmkj%2FQPCSIghi6HFBytlaYbuPxWgbjAfxVg1HXaUDHl53U0rEZZmFp%2FFYNeUaSh8%2BPNsII1tW9Rsyit3lYuTZGqj6llMutoagyrgqOZEyC9JiMYbkktxXitrasBT98IXeKgXHYb8bRSPjv2Pxnn49FPKBwBhl3NJ75UrNuNKozpWczzXVZYzgzKC3l4DbnbeEtiN2NNrNtT6qDdCQD7oMAN8aa2hb0GtsjXKsE%2Fh6%2B2djeV%2BWKdCUfIY7k88gbEk7HG5FyOaW9KB3UuTeZtk6o1ZhXU58hFRuX5IZoiNvbZghfm9Y1ftaskN6gWvUVhUBd1jyooyQvXiPEyl6g4bMJ2zIfBojwBq%2Fb0Nw1VXyT0UcQ8jAcZYkuRHrWiHJqKfiLS3HkgPtDLAGPgJZXk4u2svIKzov8qqLu3uAksuirTaTxIbhy" xr:uid="{3A7CCB68-6157-47F5-BDBE-854D36407FF5}"/>
    <hyperlink ref="J36" r:id="rId22" xr:uid="{59356710-D2F5-4D03-8267-94E6C3FA3FB7}"/>
    <hyperlink ref="J37" r:id="rId23" xr:uid="{116B9DA5-6ED4-44DE-85AF-57255725FDC6}"/>
    <hyperlink ref="J38" r:id="rId24" xr:uid="{A2EB9AD0-469F-46A1-A68D-670E7D641FAA}"/>
    <hyperlink ref="J39" r:id="rId25" xr:uid="{7AD91A3F-3A73-4A51-8010-F3FA3A937DD4}"/>
    <hyperlink ref="J40" r:id="rId26" xr:uid="{5D6460D6-35CC-4127-81FE-19BA6B654870}"/>
    <hyperlink ref="J41" r:id="rId27" xr:uid="{2DB800E6-E988-44BE-B59D-1F8CCDD41A30}"/>
    <hyperlink ref="J42" r:id="rId28" xr:uid="{C94EA025-7D56-48F7-8AC3-00B00B8BB30B}"/>
    <hyperlink ref="J43" r:id="rId29" location="sklearn.preprocessing.Normalizer" xr:uid="{848FB4C9-9431-4401-839F-B6415A6A9ADD}"/>
    <hyperlink ref="J49" r:id="rId30" xr:uid="{449E37EA-4841-4535-B626-F78F9218BFF1}"/>
    <hyperlink ref="J50" r:id="rId31" xr:uid="{B6EC1B0A-E3F0-4446-A0BD-6C7B799E3E26}"/>
    <hyperlink ref="J51" r:id="rId32" xr:uid="{7C2C5556-886D-43D1-A9D8-B63EFB7599A2}"/>
    <hyperlink ref="J53" r:id="rId33" xr:uid="{2B2EDC28-9290-4078-8D79-947354CB05D2}"/>
    <hyperlink ref="J52" r:id="rId34" xr:uid="{F0DD6706-853A-47B3-8E37-FC53A3A45C0C}"/>
    <hyperlink ref="J54" r:id="rId35" xr:uid="{8D967462-829D-446C-BB57-65ECEE0B2533}"/>
    <hyperlink ref="J55" r:id="rId36" xr:uid="{0962CECD-EE45-4841-A0C7-F4A74C2FB565}"/>
    <hyperlink ref="J56" r:id="rId37" xr:uid="{1AAB34CC-6F5C-42B9-A5D6-AFFA008309A1}"/>
    <hyperlink ref="J57" r:id="rId38" xr:uid="{E7CA04D9-6FBF-4D5A-8F45-AAD6C2C058A8}"/>
    <hyperlink ref="J58" r:id="rId39" xr:uid="{DD803EE6-3B12-4D1C-8E90-7387F0148CB1}"/>
    <hyperlink ref="J59" r:id="rId40" xr:uid="{E0A6B11D-8EAE-4768-9CAA-793CBC0444AE}"/>
    <hyperlink ref="J60" r:id="rId41" xr:uid="{CDBB2E4E-0427-41D1-8B5F-57D231526E41}"/>
    <hyperlink ref="J61" r:id="rId42" xr:uid="{6101C286-588D-473E-9398-4B817DF62EB1}"/>
    <hyperlink ref="J62" r:id="rId43" xr:uid="{4E3EBFA2-23F3-4539-9B4F-A795B0AAE01E}"/>
    <hyperlink ref="J63" r:id="rId44" xr:uid="{4B141996-DAB5-4CF7-AEC7-CFCD36E0AD09}"/>
    <hyperlink ref="J64" r:id="rId45" xr:uid="{5E128EEA-A44F-4BFD-9F3A-49A9F6E49E1F}"/>
    <hyperlink ref="J65" r:id="rId46" xr:uid="{5F83D453-508F-43FA-9FCF-EA9FF80F31A8}"/>
    <hyperlink ref="J66" r:id="rId47" xr:uid="{2B7A3726-A3A1-4979-B676-E6F97E26966E}"/>
    <hyperlink ref="J67" r:id="rId48" xr:uid="{FC087F5E-4DFD-4857-B411-8193AF1460D2}"/>
    <hyperlink ref="J68" r:id="rId49" xr:uid="{4CD30DB8-8815-4569-80A2-5034EEA846C0}"/>
    <hyperlink ref="J69" r:id="rId50" xr:uid="{89F7ADCC-7B56-417D-AE8F-FEFE33531179}"/>
    <hyperlink ref="J75" r:id="rId51" xr:uid="{DE996120-A004-452E-A089-03EBA774874C}"/>
    <hyperlink ref="J76" r:id="rId52" xr:uid="{9E6EDDCE-1250-41E9-98FD-011BBE26150C}"/>
    <hyperlink ref="J77" r:id="rId53" xr:uid="{5A882649-BE5B-4C2F-80B2-12CB21B449EC}"/>
    <hyperlink ref="J78" r:id="rId54" xr:uid="{13EB8FC6-EC91-49B8-AA55-65D1D6EADC04}"/>
    <hyperlink ref="J79" r:id="rId55" xr:uid="{F99D88C1-8C93-4AF3-9A9D-E65ACD8766D9}"/>
    <hyperlink ref="J81" r:id="rId56" xr:uid="{ECAD8C0A-C5F9-4340-B3BA-2F0647284A83}"/>
    <hyperlink ref="J80" r:id="rId57" xr:uid="{956127D8-7588-4A77-A32C-7C395EA0A127}"/>
    <hyperlink ref="J82" r:id="rId58" xr:uid="{425A7641-5DA9-490D-8515-4B4A314892EC}"/>
    <hyperlink ref="J83" r:id="rId59" xr:uid="{BA40C7EC-6A1E-4FB1-8038-8CF6E24838A5}"/>
    <hyperlink ref="J84" r:id="rId60" xr:uid="{19BDEAC6-D349-468D-BF98-59CADAE94F5C}"/>
    <hyperlink ref="J85" r:id="rId61" xr:uid="{D586A1EE-6F72-47CC-92C1-2D5FD901443A}"/>
    <hyperlink ref="J92" r:id="rId62" xr:uid="{A55A6C8C-D772-4EAD-9763-D6941AF1BE9A}"/>
    <hyperlink ref="J94" r:id="rId63" xr:uid="{A48AF85C-F080-421F-801F-1A054217D899}"/>
    <hyperlink ref="J91" r:id="rId64" xr:uid="{D445C95D-C678-4A0D-8B3D-F74E2ED48D80}"/>
    <hyperlink ref="J93" r:id="rId65" xr:uid="{6A80D80F-97A4-422A-875D-BD6BE395C5DF}"/>
    <hyperlink ref="J95" r:id="rId66" xr:uid="{22E5CEF7-44D7-4770-948F-B577CB7E65DD}"/>
    <hyperlink ref="J96" r:id="rId67" xr:uid="{73A4AA07-176B-4C8F-B649-134908F7F85B}"/>
    <hyperlink ref="J97" r:id="rId68" xr:uid="{0A126505-5C3A-4D54-BE3A-2053ED66321F}"/>
    <hyperlink ref="J98" r:id="rId69" xr:uid="{029A4790-3080-4783-A8F8-634CDB07A61D}"/>
    <hyperlink ref="J99" r:id="rId70" xr:uid="{27894BF2-8CDE-4961-BC8E-7CEF7BC5EA85}"/>
    <hyperlink ref="J100" r:id="rId71" xr:uid="{EDBDE43D-BC9C-4A2E-A293-359F52A76C21}"/>
    <hyperlink ref="J101" r:id="rId72" xr:uid="{0B52D28A-3609-4676-A502-311470A5548D}"/>
    <hyperlink ref="J102" r:id="rId73" xr:uid="{460BE817-F04D-4E27-83F1-4CE384871461}"/>
    <hyperlink ref="J103" r:id="rId74" xr:uid="{A8EF5749-31AB-4E78-957E-8211393AE057}"/>
    <hyperlink ref="J104" r:id="rId75" xr:uid="{5CAA3E65-0C22-42AD-A815-46F5175CBC67}"/>
    <hyperlink ref="J105" r:id="rId76" xr:uid="{77E12D37-AAB7-4EB4-8FAD-4B594156BF15}"/>
    <hyperlink ref="J113" r:id="rId77" xr:uid="{9085EFF0-A214-4E58-9E11-819EA4940B9E}"/>
    <hyperlink ref="J114" r:id="rId78" xr:uid="{4B650A39-9B62-4F77-923B-367DA7DC416C}"/>
    <hyperlink ref="J115" r:id="rId79" xr:uid="{5E92E178-2F27-4BF9-8FC2-1AB2BB3B807E}"/>
    <hyperlink ref="J106" r:id="rId80" xr:uid="{68D24ADD-9FB5-4F87-BD40-5C6B4CA14A4E}"/>
    <hyperlink ref="J107" r:id="rId81" xr:uid="{62B7982A-D6EB-46A0-927D-39160F625356}"/>
    <hyperlink ref="J116" r:id="rId82" xr:uid="{44390237-6EDE-412E-85E7-AD9935991029}"/>
    <hyperlink ref="J117" r:id="rId83" xr:uid="{FABF98EC-EABB-466C-A566-B677068984AF}"/>
    <hyperlink ref="J119" r:id="rId84" xr:uid="{6337C463-9971-4947-9ED2-B95CADB3949B}"/>
    <hyperlink ref="K5" r:id="rId85" xr:uid="{94B7DF37-1172-4B1E-9966-180AF88AD290}"/>
    <hyperlink ref="K26" r:id="rId86" xr:uid="{0640618A-26DB-4DF3-8D49-96E58E16D8B3}"/>
    <hyperlink ref="K74" r:id="rId87" xr:uid="{90A2982C-6A1F-4E68-8C8F-44534E9E922E}"/>
    <hyperlink ref="K90" r:id="rId88" xr:uid="{F6A596EE-E0B7-4859-BE1A-97F155995EBE}"/>
    <hyperlink ref="J11" r:id="rId89" xr:uid="{52D4FC77-929C-438B-BC76-6AECC937F63E}"/>
    <hyperlink ref="J10" r:id="rId90" xr:uid="{9402AB10-D8A1-42BA-B8AF-17C021F68C9F}"/>
    <hyperlink ref="J118" r:id="rId91" xr:uid="{4B11D991-1F10-4EBC-BD9F-EA2D1F5F508D}"/>
    <hyperlink ref="J120" r:id="rId92" xr:uid="{D7EA4AF3-C637-49CE-8F02-1D880C816CBE}"/>
    <hyperlink ref="J126" r:id="rId93" xr:uid="{DEBAC95E-1516-4115-8C86-3075C077D59C}"/>
    <hyperlink ref="J127" r:id="rId94" xr:uid="{F21CABB7-AB02-4938-B703-CAC5493037DE}"/>
    <hyperlink ref="J128" r:id="rId95" xr:uid="{6C090F92-AF39-45F6-A44E-A05A90024F18}"/>
    <hyperlink ref="K112" r:id="rId96" xr:uid="{B75BE308-F4D8-435E-BF2E-26F7DE5259E2}"/>
  </hyperlinks>
  <pageMargins left="0.7" right="0.7" top="0.75" bottom="0.75" header="0.3" footer="0.3"/>
  <pageSetup paperSize="9" scale="52" fitToHeight="0" orientation="landscape" r:id="rId97"/>
  <ignoredErrors>
    <ignoredError sqref="A20 A27 A39 A55 A97 A93 A100:A102 A113 A115 A118" twoDigitTextYear="1"/>
  </ignoredErrors>
  <extLst>
    <ext xmlns:x14="http://schemas.microsoft.com/office/spreadsheetml/2009/9/main" uri="{CCE6A557-97BC-4b89-ADB6-D9C93CAAB3DF}">
      <x14:dataValidations xmlns:xm="http://schemas.microsoft.com/office/excel/2006/main" count="3">
        <x14:dataValidation type="list" allowBlank="1" xr:uid="{00000000-0002-0000-0000-000001000000}">
          <x14:formula1>
            <xm:f>'Drop-downs'!$B$2:$B$16</xm:f>
          </x14:formula1>
          <xm:sqref>E5:E21 E90:E107 E112:E120 E26:E43 E48:E69 E74:E85 E133:E137 E125:E128</xm:sqref>
        </x14:dataValidation>
        <x14:dataValidation type="list" allowBlank="1" xr:uid="{00000000-0002-0000-0000-000002000000}">
          <x14:formula1>
            <xm:f>'Drop-downs'!$A$2:$A$9</xm:f>
          </x14:formula1>
          <xm:sqref>B5:B21 B90:B107 B112:B120 B26:B28 B30:B43 B62 B48:B60 B74:B85 B133:B137 B125:B128</xm:sqref>
        </x14:dataValidation>
        <x14:dataValidation type="list" allowBlank="1" xr:uid="{022AB9B7-3090-420D-A92F-6C31608AE4FF}">
          <x14:formula1>
            <xm:f>'Drop-downs'!$C$2:$C$9</xm:f>
          </x14:formula1>
          <xm:sqref>F90:F107 F112:F120 F74:F85 F48:F69 F5:F21 F38:F43 F26:F36 F133:F137 F125:F128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B2:K21"/>
  <sheetViews>
    <sheetView workbookViewId="0">
      <selection activeCell="B4" sqref="B4"/>
    </sheetView>
  </sheetViews>
  <sheetFormatPr defaultColWidth="14.44140625" defaultRowHeight="15" customHeight="1" x14ac:dyDescent="0.25"/>
  <cols>
    <col min="2" max="2" width="27" customWidth="1"/>
    <col min="11" max="11" width="20.44140625" customWidth="1"/>
  </cols>
  <sheetData>
    <row r="2" spans="2:11" ht="13.8" x14ac:dyDescent="0.3">
      <c r="B2" s="16" t="s">
        <v>25</v>
      </c>
      <c r="C2" s="2" t="s">
        <v>26</v>
      </c>
      <c r="D2" s="2" t="s">
        <v>27</v>
      </c>
      <c r="E2" s="2" t="s">
        <v>28</v>
      </c>
      <c r="F2" s="2" t="s">
        <v>29</v>
      </c>
      <c r="G2" s="2" t="s">
        <v>30</v>
      </c>
      <c r="H2" s="2" t="s">
        <v>31</v>
      </c>
      <c r="I2" s="2" t="s">
        <v>32</v>
      </c>
      <c r="J2" s="2" t="s">
        <v>33</v>
      </c>
      <c r="K2" s="4" t="s">
        <v>34</v>
      </c>
    </row>
    <row r="3" spans="2:11" ht="13.8" x14ac:dyDescent="0.3">
      <c r="B3" s="6" t="str">
        <f>'Drop-downs'!C2</f>
        <v>-</v>
      </c>
      <c r="C3" s="8"/>
      <c r="D3" s="8"/>
      <c r="E3" s="8"/>
      <c r="F3" s="8"/>
      <c r="G3" s="8"/>
      <c r="H3" s="8"/>
      <c r="I3" s="8"/>
      <c r="J3" s="8"/>
      <c r="K3" s="9">
        <f t="shared" ref="K3:K10" si="0">SUM(C3:J3)</f>
        <v>0</v>
      </c>
    </row>
    <row r="4" spans="2:11" ht="13.8" x14ac:dyDescent="0.3">
      <c r="B4" s="6" t="str">
        <f>'Drop-downs'!C3</f>
        <v>ILO 1.3</v>
      </c>
      <c r="C4" s="15" cm="1">
        <f t="array" ref="C4">IFERROR(SUM(_xlfn._xlws.FILTER('Worklog_Tasks&amp;Times'!$H$5:$H$15,'Worklog_Tasks&amp;Times'!$F$5:$F$15=$B4)),0)</f>
        <v>0</v>
      </c>
      <c r="D4" s="15" cm="1">
        <f t="array" ref="D4">IFERROR(SUM(_xlfn._xlws.FILTER('Worklog_Tasks&amp;Times'!$H$26:$H$43,'Worklog_Tasks&amp;Times'!$F$26:$F$43=$B4)),0)</f>
        <v>4</v>
      </c>
      <c r="E4" s="15" cm="1">
        <f t="array" ref="E4">IFERROR(SUM(_xlfn._xlws.FILTER('Worklog_Tasks&amp;Times'!$H$48:$H$69,'Worklog_Tasks&amp;Times'!$F$48:$F$69=$B4)),0)</f>
        <v>0</v>
      </c>
      <c r="F4" s="15" cm="1">
        <f t="array" ref="F4">IFERROR(SUM(_xlfn._xlws.FILTER('Worklog_Tasks&amp;Times'!$H$74:$H$85,'Worklog_Tasks&amp;Times'!$F$74:$F$85=$B4)),0)</f>
        <v>0</v>
      </c>
      <c r="G4" s="15" cm="1">
        <f t="array" ref="G4">IFERROR(SUM(_xlfn._xlws.FILTER('Worklog_Tasks&amp;Times'!$H$90:$H$107,'Worklog_Tasks&amp;Times'!$F$90:$F$107=$B4)),0)</f>
        <v>0</v>
      </c>
      <c r="H4" s="15" cm="1">
        <f t="array" ref="H4">IFERROR(SUM(_xlfn._xlws.FILTER('Worklog_Tasks&amp;Times'!$H$112:$H$120,'Worklog_Tasks&amp;Times'!$F$112:$F$120=$B4)),0)</f>
        <v>0</v>
      </c>
      <c r="I4" s="15" cm="1">
        <f t="array" ref="I4">IFERROR(SUM(_xlfn._xlws.FILTER('Worklog_Tasks&amp;Times'!$H$125:$H$128,'Worklog_Tasks&amp;Times'!$F$125:$F$128=$B4)),0)</f>
        <v>3</v>
      </c>
      <c r="J4" s="15" cm="1">
        <f t="array" ref="J4">IFERROR(SUM(_xlfn._xlws.FILTER('Worklog_Tasks&amp;Times'!$H$133:$H$137,'Worklog_Tasks&amp;Times'!$F$133:$F$137=$B4)),0)</f>
        <v>3</v>
      </c>
      <c r="K4" s="9">
        <f t="shared" si="0"/>
        <v>10</v>
      </c>
    </row>
    <row r="5" spans="2:11" ht="13.8" x14ac:dyDescent="0.3">
      <c r="B5" s="6" t="str">
        <f>'Drop-downs'!C4</f>
        <v>ILO 2.3</v>
      </c>
      <c r="C5" s="15" cm="1">
        <f t="array" ref="C5">IFERROR(SUM(_xlfn._xlws.FILTER('Worklog_Tasks&amp;Times'!$H$5:$H$15,'Worklog_Tasks&amp;Times'!$F$5:$F$15=$B5)),0)</f>
        <v>8</v>
      </c>
      <c r="D5" s="15" cm="1">
        <f t="array" ref="D5">IFERROR(SUM(_xlfn._xlws.FILTER('Worklog_Tasks&amp;Times'!$H$26:$H$43,'Worklog_Tasks&amp;Times'!$F$26:$F$43=$B5)),0)</f>
        <v>13</v>
      </c>
      <c r="E5" s="15" cm="1">
        <f t="array" ref="E5">IFERROR(SUM(_xlfn._xlws.FILTER('Worklog_Tasks&amp;Times'!$H$48:$H$69,'Worklog_Tasks&amp;Times'!$F$48:$F$69=$B5)),0)</f>
        <v>43.5</v>
      </c>
      <c r="F5" s="15" cm="1">
        <f t="array" ref="F5">IFERROR(SUM(_xlfn._xlws.FILTER('Worklog_Tasks&amp;Times'!$H$74:$H$85,'Worklog_Tasks&amp;Times'!$F$74:$F$85=$B5)),0)</f>
        <v>11.5</v>
      </c>
      <c r="G5" s="15" cm="1">
        <f t="array" ref="G5">IFERROR(SUM(_xlfn._xlws.FILTER('Worklog_Tasks&amp;Times'!$H$90:$H$107,'Worklog_Tasks&amp;Times'!$F$90:$F$107=$B5)),0)</f>
        <v>8.5</v>
      </c>
      <c r="H5" s="15" cm="1">
        <f t="array" ref="H5">IFERROR(SUM(_xlfn._xlws.FILTER('Worklog_Tasks&amp;Times'!$H$112:$H$120,'Worklog_Tasks&amp;Times'!$F$112:$F$120=$B5)),0)</f>
        <v>12</v>
      </c>
      <c r="I5" s="15" cm="1">
        <f t="array" ref="I5">IFERROR(SUM(_xlfn._xlws.FILTER('Worklog_Tasks&amp;Times'!$H$125:$H$128,'Worklog_Tasks&amp;Times'!$F$125:$F$128=$B5)),0)</f>
        <v>0</v>
      </c>
      <c r="J5" s="15" cm="1">
        <f t="array" ref="J5">IFERROR(SUM(_xlfn._xlws.FILTER('Worklog_Tasks&amp;Times'!$H$133:$H$137,'Worklog_Tasks&amp;Times'!$F$133:$F$137=$B5)),0)</f>
        <v>3</v>
      </c>
      <c r="K5" s="9">
        <f t="shared" si="0"/>
        <v>99.5</v>
      </c>
    </row>
    <row r="6" spans="2:11" ht="13.8" x14ac:dyDescent="0.3">
      <c r="B6" s="6" t="str">
        <f>'Drop-downs'!C5</f>
        <v>ILO 3.2</v>
      </c>
      <c r="C6" s="15" cm="1">
        <f t="array" ref="C6">IFERROR(SUM(_xlfn._xlws.FILTER('Worklog_Tasks&amp;Times'!$H$5:$H$15,'Worklog_Tasks&amp;Times'!$F$5:$F$15=$B6)),0)</f>
        <v>3.5</v>
      </c>
      <c r="D6" s="15" cm="1">
        <f t="array" ref="D6">IFERROR(SUM(_xlfn._xlws.FILTER('Worklog_Tasks&amp;Times'!$H$26:$H$43,'Worklog_Tasks&amp;Times'!$F$26:$F$43=$B6)),0)</f>
        <v>5.5</v>
      </c>
      <c r="E6" s="15" cm="1">
        <f t="array" ref="E6">IFERROR(SUM(_xlfn._xlws.FILTER('Worklog_Tasks&amp;Times'!$H$48:$H$69,'Worklog_Tasks&amp;Times'!$F$48:$F$69=$B6)),0)</f>
        <v>5</v>
      </c>
      <c r="F6" s="15" cm="1">
        <f t="array" ref="F6">IFERROR(SUM(_xlfn._xlws.FILTER('Worklog_Tasks&amp;Times'!$H$74:$H$85,'Worklog_Tasks&amp;Times'!$F$74:$F$85=$B6)),0)</f>
        <v>9</v>
      </c>
      <c r="G6" s="15" cm="1">
        <f t="array" ref="G6">IFERROR(SUM(_xlfn._xlws.FILTER('Worklog_Tasks&amp;Times'!$H$90:$H$107,'Worklog_Tasks&amp;Times'!$F$90:$F$107=$B6)),0)</f>
        <v>20.5</v>
      </c>
      <c r="H6" s="15" cm="1">
        <f t="array" ref="H6">IFERROR(SUM(_xlfn._xlws.FILTER('Worklog_Tasks&amp;Times'!$H$112:$H$120,'Worklog_Tasks&amp;Times'!$F$112:$F$120=$B6)),0)</f>
        <v>0</v>
      </c>
      <c r="I6" s="15" cm="1">
        <f t="array" ref="I6">IFERROR(SUM(_xlfn._xlws.FILTER('Worklog_Tasks&amp;Times'!$H$125:$H$128,'Worklog_Tasks&amp;Times'!$F$125:$F$128=$B6)),0)</f>
        <v>0</v>
      </c>
      <c r="J6" s="15" cm="1">
        <f t="array" ref="J6">IFERROR(SUM(_xlfn._xlws.FILTER('Worklog_Tasks&amp;Times'!$H$133:$H$137,'Worklog_Tasks&amp;Times'!$F$133:$F$137=$B6)),0)</f>
        <v>0</v>
      </c>
      <c r="K6" s="9">
        <f t="shared" si="0"/>
        <v>43.5</v>
      </c>
    </row>
    <row r="7" spans="2:11" ht="13.8" x14ac:dyDescent="0.3">
      <c r="B7" s="6" t="str">
        <f>'Drop-downs'!C6</f>
        <v>ILO 4.1</v>
      </c>
      <c r="C7" s="15" cm="1">
        <f t="array" ref="C7">IFERROR(SUM(_xlfn._xlws.FILTER('Worklog_Tasks&amp;Times'!$H$5:$H$15,'Worklog_Tasks&amp;Times'!$F$5:$F$15=$B7)),0)</f>
        <v>0</v>
      </c>
      <c r="D7" s="15" cm="1">
        <f t="array" ref="D7">IFERROR(SUM(_xlfn._xlws.FILTER('Worklog_Tasks&amp;Times'!$H$26:$H$43,'Worklog_Tasks&amp;Times'!$F$26:$F$43=$B7)),0)</f>
        <v>5</v>
      </c>
      <c r="E7" s="15" cm="1">
        <f t="array" ref="E7">IFERROR(SUM(_xlfn._xlws.FILTER('Worklog_Tasks&amp;Times'!$H$48:$H$69,'Worklog_Tasks&amp;Times'!$F$48:$F$69=$B7)),0)</f>
        <v>3</v>
      </c>
      <c r="F7" s="15" cm="1">
        <f t="array" ref="F7">IFERROR(SUM(_xlfn._xlws.FILTER('Worklog_Tasks&amp;Times'!$H$74:$H$85,'Worklog_Tasks&amp;Times'!$F$74:$F$85=$B7)),0)</f>
        <v>2</v>
      </c>
      <c r="G7" s="15" cm="1">
        <f t="array" ref="G7">IFERROR(SUM(_xlfn._xlws.FILTER('Worklog_Tasks&amp;Times'!$H$90:$H$107,'Worklog_Tasks&amp;Times'!$F$90:$F$107=$B7)),0)</f>
        <v>6</v>
      </c>
      <c r="H7" s="15" cm="1">
        <f t="array" ref="H7">IFERROR(SUM(_xlfn._xlws.FILTER('Worklog_Tasks&amp;Times'!$H$112:$H$120,'Worklog_Tasks&amp;Times'!$F$112:$F$120=$B7)),0)</f>
        <v>4</v>
      </c>
      <c r="I7" s="15" cm="1">
        <f t="array" ref="I7">IFERROR(SUM(_xlfn._xlws.FILTER('Worklog_Tasks&amp;Times'!$H$125:$H$128,'Worklog_Tasks&amp;Times'!$F$125:$F$128=$B7)),0)</f>
        <v>0</v>
      </c>
      <c r="J7" s="15" cm="1">
        <f t="array" ref="J7">IFERROR(SUM(_xlfn._xlws.FILTER('Worklog_Tasks&amp;Times'!$H$133:$H$137,'Worklog_Tasks&amp;Times'!$F$133:$F$137=$B7)),0)</f>
        <v>0</v>
      </c>
      <c r="K7" s="9">
        <f t="shared" si="0"/>
        <v>20</v>
      </c>
    </row>
    <row r="8" spans="2:11" ht="13.8" x14ac:dyDescent="0.3">
      <c r="B8" s="6" t="str">
        <f>'Drop-downs'!C7</f>
        <v>ILO 6.2</v>
      </c>
      <c r="C8" s="15" cm="1">
        <f t="array" ref="C8">IFERROR(SUM(_xlfn._xlws.FILTER('Worklog_Tasks&amp;Times'!$H$5:$H$15,'Worklog_Tasks&amp;Times'!$F$5:$F$15=$B8)),0)</f>
        <v>0</v>
      </c>
      <c r="D8" s="15" cm="1">
        <f t="array" ref="D8">IFERROR(SUM(_xlfn._xlws.FILTER('Worklog_Tasks&amp;Times'!$H$26:$H$43,'Worklog_Tasks&amp;Times'!$F$26:$F$43=$B8)),0)</f>
        <v>0</v>
      </c>
      <c r="E8" s="15" cm="1">
        <f t="array" ref="E8">IFERROR(SUM(_xlfn._xlws.FILTER('Worklog_Tasks&amp;Times'!$H$48:$H$69,'Worklog_Tasks&amp;Times'!$F$48:$F$69=$B8)),0)</f>
        <v>2</v>
      </c>
      <c r="F8" s="15" cm="1">
        <f t="array" ref="F8">IFERROR(SUM(_xlfn._xlws.FILTER('Worklog_Tasks&amp;Times'!$H$74:$H$85,'Worklog_Tasks&amp;Times'!$F$74:$F$85=$B8)),0)</f>
        <v>4</v>
      </c>
      <c r="G8" s="15" cm="1">
        <f t="array" ref="G8">IFERROR(SUM(_xlfn._xlws.FILTER('Worklog_Tasks&amp;Times'!$H$90:$H$107,'Worklog_Tasks&amp;Times'!$F$90:$F$107=$B8)),0)</f>
        <v>4</v>
      </c>
      <c r="H8" s="15" cm="1">
        <f t="array" ref="H8">IFERROR(SUM(_xlfn._xlws.FILTER('Worklog_Tasks&amp;Times'!$H$112:$H$120,'Worklog_Tasks&amp;Times'!$F$112:$F$120=$B8)),0)</f>
        <v>3.5</v>
      </c>
      <c r="I8" s="15" cm="1">
        <f t="array" ref="I8">IFERROR(SUM(_xlfn._xlws.FILTER('Worklog_Tasks&amp;Times'!$H$125:$H$128,'Worklog_Tasks&amp;Times'!$F$125:$F$128=$B8)),0)</f>
        <v>0</v>
      </c>
      <c r="J8" s="15" cm="1">
        <f t="array" ref="J8">IFERROR(SUM(_xlfn._xlws.FILTER('Worklog_Tasks&amp;Times'!$H$133:$H$137,'Worklog_Tasks&amp;Times'!$F$133:$F$137=$B8)),0)</f>
        <v>0</v>
      </c>
      <c r="K8" s="9">
        <f t="shared" ref="K8" si="1">SUM(C8:J8)</f>
        <v>13.5</v>
      </c>
    </row>
    <row r="9" spans="2:11" ht="13.8" x14ac:dyDescent="0.3">
      <c r="B9" s="6" t="str">
        <f>'Drop-downs'!C8</f>
        <v>ILO 8.2</v>
      </c>
      <c r="C9" s="15" cm="1">
        <f t="array" ref="C9">IFERROR(SUM(_xlfn._xlws.FILTER('Worklog_Tasks&amp;Times'!$H$5:$H$15,'Worklog_Tasks&amp;Times'!$F$5:$F$15=$B9)),0)</f>
        <v>0</v>
      </c>
      <c r="D9" s="15" cm="1">
        <f t="array" ref="D9">IFERROR(SUM(_xlfn._xlws.FILTER('Worklog_Tasks&amp;Times'!$H$26:$H$43,'Worklog_Tasks&amp;Times'!$F$26:$F$43=$B9)),0)</f>
        <v>0</v>
      </c>
      <c r="E9" s="15" cm="1">
        <f t="array" ref="E9">IFERROR(SUM(_xlfn._xlws.FILTER('Worklog_Tasks&amp;Times'!$H$48:$H$69,'Worklog_Tasks&amp;Times'!$F$48:$F$69=$B9)),0)</f>
        <v>0</v>
      </c>
      <c r="F9" s="15" cm="1">
        <f t="array" ref="F9">IFERROR(SUM(_xlfn._xlws.FILTER('Worklog_Tasks&amp;Times'!$H$74:$H$85,'Worklog_Tasks&amp;Times'!$F$74:$F$85=$B9)),0)</f>
        <v>3</v>
      </c>
      <c r="G9" s="15" cm="1">
        <f t="array" ref="G9">IFERROR(SUM(_xlfn._xlws.FILTER('Worklog_Tasks&amp;Times'!$H$90:$H$107,'Worklog_Tasks&amp;Times'!$F$90:$F$107=$B9)),0)</f>
        <v>0</v>
      </c>
      <c r="H9" s="15" cm="1">
        <f t="array" ref="H9">IFERROR(SUM(_xlfn._xlws.FILTER('Worklog_Tasks&amp;Times'!$H$112:$H$120,'Worklog_Tasks&amp;Times'!$F$112:$F$120=$B9)),0)</f>
        <v>10</v>
      </c>
      <c r="I9" s="15" cm="1">
        <f t="array" ref="I9">IFERROR(SUM(_xlfn._xlws.FILTER('Worklog_Tasks&amp;Times'!$H$125:$H$128,'Worklog_Tasks&amp;Times'!$F$125:$F$128=$B9)),0)</f>
        <v>0</v>
      </c>
      <c r="J9" s="15" cm="1">
        <f t="array" ref="J9">IFERROR(SUM(_xlfn._xlws.FILTER('Worklog_Tasks&amp;Times'!$H$133:$H$137,'Worklog_Tasks&amp;Times'!$F$133:$F$137=$B9)),0)</f>
        <v>0</v>
      </c>
      <c r="K9" s="9">
        <f t="shared" si="0"/>
        <v>13</v>
      </c>
    </row>
    <row r="10" spans="2:11" ht="13.8" x14ac:dyDescent="0.3">
      <c r="B10" s="6" t="str">
        <f>'Drop-downs'!C9</f>
        <v>ILO 9.1</v>
      </c>
      <c r="C10" s="15" cm="1">
        <f t="array" ref="C10">IFERROR(SUM(_xlfn._xlws.FILTER('Worklog_Tasks&amp;Times'!$H$5:$H$15,'Worklog_Tasks&amp;Times'!$F$5:$F$15=$B10)),0)</f>
        <v>0</v>
      </c>
      <c r="D10" s="15" cm="1">
        <f t="array" ref="D10">IFERROR(SUM(_xlfn._xlws.FILTER('Worklog_Tasks&amp;Times'!$H$26:$H$43,'Worklog_Tasks&amp;Times'!$F$26:$F$43=$B10)),0)</f>
        <v>0</v>
      </c>
      <c r="E10" s="15" cm="1">
        <f t="array" ref="E10">IFERROR(SUM(_xlfn._xlws.FILTER('Worklog_Tasks&amp;Times'!$H$48:$H$69,'Worklog_Tasks&amp;Times'!$F$48:$F$69=$B10)),0)</f>
        <v>0</v>
      </c>
      <c r="F10" s="15" cm="1">
        <f t="array" ref="F10">IFERROR(SUM(_xlfn._xlws.FILTER('Worklog_Tasks&amp;Times'!$H$74:$H$85,'Worklog_Tasks&amp;Times'!$F$74:$F$85=$B10)),0)</f>
        <v>0</v>
      </c>
      <c r="G10" s="15" cm="1">
        <f t="array" ref="G10">IFERROR(SUM(_xlfn._xlws.FILTER('Worklog_Tasks&amp;Times'!$H$90:$H$107,'Worklog_Tasks&amp;Times'!$F$90:$F$107=$B10)),0)</f>
        <v>0</v>
      </c>
      <c r="H10" s="15" cm="1">
        <f t="array" ref="H10">IFERROR(SUM(_xlfn._xlws.FILTER('Worklog_Tasks&amp;Times'!$H$112:$H$120,'Worklog_Tasks&amp;Times'!$F$112:$F$120=$B10)),0)</f>
        <v>0</v>
      </c>
      <c r="I10" s="15" cm="1">
        <f t="array" ref="I10">IFERROR(SUM(_xlfn._xlws.FILTER('Worklog_Tasks&amp;Times'!$H$125:$H$128,'Worklog_Tasks&amp;Times'!$F$125:$F$128=$B10)),0)</f>
        <v>0</v>
      </c>
      <c r="J10" s="15" cm="1">
        <f t="array" ref="J10">IFERROR(SUM(_xlfn._xlws.FILTER('Worklog_Tasks&amp;Times'!$H$133:$H$137,'Worklog_Tasks&amp;Times'!$F$133:$F$137=$B10)),0)</f>
        <v>0</v>
      </c>
      <c r="K10" s="9">
        <f t="shared" si="0"/>
        <v>0</v>
      </c>
    </row>
    <row r="11" spans="2:11" ht="13.8" x14ac:dyDescent="0.3">
      <c r="B11" s="16" t="s">
        <v>35</v>
      </c>
      <c r="C11" s="17">
        <f>SUM(C3:C10)</f>
        <v>11.5</v>
      </c>
      <c r="D11" s="17">
        <f t="shared" ref="D11:J11" si="2">SUM(D3:D10)</f>
        <v>27.5</v>
      </c>
      <c r="E11" s="17">
        <f t="shared" si="2"/>
        <v>53.5</v>
      </c>
      <c r="F11" s="17">
        <f t="shared" si="2"/>
        <v>29.5</v>
      </c>
      <c r="G11" s="17">
        <f t="shared" si="2"/>
        <v>39</v>
      </c>
      <c r="H11" s="17">
        <f t="shared" si="2"/>
        <v>29.5</v>
      </c>
      <c r="I11" s="17">
        <f t="shared" si="2"/>
        <v>3</v>
      </c>
      <c r="J11" s="17">
        <f t="shared" si="2"/>
        <v>6</v>
      </c>
      <c r="K11" s="19"/>
    </row>
    <row r="12" spans="2:11" ht="13.8" x14ac:dyDescent="0.3">
      <c r="B12" s="21"/>
      <c r="C12" s="22"/>
      <c r="D12" s="22"/>
      <c r="E12" s="22"/>
      <c r="F12" s="22"/>
      <c r="G12" s="22"/>
      <c r="H12" s="22"/>
      <c r="I12" s="22"/>
      <c r="J12" s="22"/>
      <c r="K12" s="22"/>
    </row>
    <row r="13" spans="2:11" ht="15" customHeight="1" x14ac:dyDescent="0.25">
      <c r="B13" s="93" t="s">
        <v>36</v>
      </c>
      <c r="C13" s="94"/>
      <c r="D13" s="94"/>
      <c r="E13" s="94"/>
      <c r="F13" s="94"/>
      <c r="G13" s="94"/>
      <c r="H13" s="94"/>
      <c r="I13" s="94"/>
      <c r="J13" s="94"/>
      <c r="K13" s="94"/>
    </row>
    <row r="17" spans="2:6" ht="15" customHeight="1" x14ac:dyDescent="0.25">
      <c r="B17" s="92" t="s">
        <v>60</v>
      </c>
      <c r="C17" s="92"/>
      <c r="D17" s="92"/>
      <c r="E17" s="92"/>
      <c r="F17" s="92"/>
    </row>
    <row r="18" spans="2:6" ht="15" customHeight="1" x14ac:dyDescent="0.25">
      <c r="B18" s="92"/>
      <c r="C18" s="92"/>
      <c r="D18" s="92"/>
      <c r="E18" s="92"/>
      <c r="F18" s="92"/>
    </row>
    <row r="19" spans="2:6" ht="15" customHeight="1" x14ac:dyDescent="0.25">
      <c r="B19" s="92"/>
      <c r="C19" s="92"/>
      <c r="D19" s="92"/>
      <c r="E19" s="92"/>
      <c r="F19" s="92"/>
    </row>
    <row r="20" spans="2:6" ht="15" customHeight="1" x14ac:dyDescent="0.25">
      <c r="B20" s="92"/>
      <c r="C20" s="92"/>
      <c r="D20" s="92"/>
      <c r="E20" s="92"/>
      <c r="F20" s="92"/>
    </row>
    <row r="21" spans="2:6" ht="15" customHeight="1" x14ac:dyDescent="0.25">
      <c r="B21" s="92"/>
      <c r="C21" s="92"/>
      <c r="D21" s="92"/>
      <c r="E21" s="92"/>
      <c r="F21" s="92"/>
    </row>
  </sheetData>
  <mergeCells count="2">
    <mergeCell ref="B17:F21"/>
    <mergeCell ref="B13:K13"/>
  </mergeCells>
  <conditionalFormatting sqref="C11:J11">
    <cfRule type="colorScale" priority="1">
      <colorScale>
        <cfvo type="formula" val="20"/>
        <cfvo type="formula" val="40"/>
        <color rgb="FFE67C73"/>
        <color rgb="FF57BB8A"/>
      </colorScale>
    </cfRule>
  </conditionalFormatting>
  <pageMargins left="0.7" right="0.7" top="0.75" bottom="0.75" header="0.3" footer="0.3"/>
  <ignoredErrors>
    <ignoredError sqref="D4"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C1000"/>
  <sheetViews>
    <sheetView workbookViewId="0">
      <selection activeCell="C10" sqref="C10"/>
    </sheetView>
  </sheetViews>
  <sheetFormatPr defaultColWidth="14.44140625" defaultRowHeight="15" customHeight="1" x14ac:dyDescent="0.25"/>
  <cols>
    <col min="1" max="6" width="14.44140625" customWidth="1"/>
  </cols>
  <sheetData>
    <row r="1" spans="1:3" ht="15.75" customHeight="1" x14ac:dyDescent="0.25">
      <c r="A1" s="1" t="s">
        <v>37</v>
      </c>
      <c r="B1" s="1" t="s">
        <v>4</v>
      </c>
      <c r="C1" s="1" t="s">
        <v>38</v>
      </c>
    </row>
    <row r="2" spans="1:3" ht="15.75" customHeight="1" x14ac:dyDescent="0.25">
      <c r="A2" t="s">
        <v>39</v>
      </c>
      <c r="B2" t="s">
        <v>39</v>
      </c>
      <c r="C2" s="11" t="s">
        <v>39</v>
      </c>
    </row>
    <row r="3" spans="1:3" ht="15.75" customHeight="1" x14ac:dyDescent="0.25">
      <c r="A3" t="s">
        <v>40</v>
      </c>
      <c r="B3" t="s">
        <v>41</v>
      </c>
      <c r="C3" s="11" t="s">
        <v>61</v>
      </c>
    </row>
    <row r="4" spans="1:3" ht="15.75" customHeight="1" x14ac:dyDescent="0.25">
      <c r="A4" t="s">
        <v>42</v>
      </c>
      <c r="B4" t="s">
        <v>43</v>
      </c>
      <c r="C4" s="11" t="s">
        <v>62</v>
      </c>
    </row>
    <row r="5" spans="1:3" ht="15.75" customHeight="1" x14ac:dyDescent="0.25">
      <c r="A5" t="s">
        <v>44</v>
      </c>
      <c r="B5" t="s">
        <v>45</v>
      </c>
      <c r="C5" s="11" t="s">
        <v>63</v>
      </c>
    </row>
    <row r="6" spans="1:3" ht="15.75" customHeight="1" x14ac:dyDescent="0.25">
      <c r="A6" t="s">
        <v>46</v>
      </c>
      <c r="B6" t="s">
        <v>47</v>
      </c>
      <c r="C6" s="11" t="s">
        <v>64</v>
      </c>
    </row>
    <row r="7" spans="1:3" ht="15.75" customHeight="1" x14ac:dyDescent="0.25">
      <c r="A7" t="s">
        <v>48</v>
      </c>
      <c r="B7" t="s">
        <v>49</v>
      </c>
      <c r="C7" s="11" t="s">
        <v>65</v>
      </c>
    </row>
    <row r="8" spans="1:3" ht="15.75" customHeight="1" x14ac:dyDescent="0.25">
      <c r="A8" t="s">
        <v>50</v>
      </c>
      <c r="B8" t="s">
        <v>51</v>
      </c>
      <c r="C8" s="11" t="s">
        <v>66</v>
      </c>
    </row>
    <row r="9" spans="1:3" ht="15.75" customHeight="1" x14ac:dyDescent="0.25">
      <c r="A9" t="s">
        <v>52</v>
      </c>
      <c r="B9" s="11" t="s">
        <v>53</v>
      </c>
      <c r="C9" s="11" t="s">
        <v>67</v>
      </c>
    </row>
    <row r="10" spans="1:3" ht="15.75" customHeight="1" x14ac:dyDescent="0.25">
      <c r="B10" s="11" t="s">
        <v>54</v>
      </c>
    </row>
    <row r="11" spans="1:3" ht="15.75" customHeight="1" x14ac:dyDescent="0.25">
      <c r="B11" s="11" t="s">
        <v>55</v>
      </c>
    </row>
    <row r="12" spans="1:3" ht="15.75" customHeight="1" x14ac:dyDescent="0.25">
      <c r="B12" s="11" t="s">
        <v>56</v>
      </c>
    </row>
    <row r="13" spans="1:3" ht="15.75" customHeight="1" x14ac:dyDescent="0.25">
      <c r="B13" s="11" t="s">
        <v>57</v>
      </c>
    </row>
    <row r="14" spans="1:3" ht="15.75" customHeight="1" x14ac:dyDescent="0.25">
      <c r="B14" s="11" t="s">
        <v>42</v>
      </c>
    </row>
    <row r="15" spans="1:3" ht="15.75" customHeight="1" x14ac:dyDescent="0.25">
      <c r="B15" s="11" t="s">
        <v>58</v>
      </c>
    </row>
    <row r="16" spans="1:3" ht="15.75" customHeight="1" x14ac:dyDescent="0.25">
      <c r="B16" s="11" t="s">
        <v>59</v>
      </c>
    </row>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452308C42A05C4396E8C3F2DAA23FBB" ma:contentTypeVersion="6" ma:contentTypeDescription="Create a new document." ma:contentTypeScope="" ma:versionID="14d5a1a362d3c5c1f5c488f7fee5b818">
  <xsd:schema xmlns:xsd="http://www.w3.org/2001/XMLSchema" xmlns:xs="http://www.w3.org/2001/XMLSchema" xmlns:p="http://schemas.microsoft.com/office/2006/metadata/properties" xmlns:ns3="c5b79d58-b38a-4b87-b38c-f1f3f0d5c921" targetNamespace="http://schemas.microsoft.com/office/2006/metadata/properties" ma:root="true" ma:fieldsID="4484db0e708a39a924ec23654b7766ec" ns3:_="">
    <xsd:import namespace="c5b79d58-b38a-4b87-b38c-f1f3f0d5c921"/>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5b79d58-b38a-4b87-b38c-f1f3f0d5c921"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_activity" ma:index="13"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c5b79d58-b38a-4b87-b38c-f1f3f0d5c921" xsi:nil="true"/>
  </documentManagement>
</p:properties>
</file>

<file path=customXml/itemProps1.xml><?xml version="1.0" encoding="utf-8"?>
<ds:datastoreItem xmlns:ds="http://schemas.openxmlformats.org/officeDocument/2006/customXml" ds:itemID="{08C9DAD3-B25A-4CA4-A068-BC649013B8D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5b79d58-b38a-4b87-b38c-f1f3f0d5c92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7A64A65-7DA4-4AE1-9847-B817073E4705}">
  <ds:schemaRefs>
    <ds:schemaRef ds:uri="http://schemas.microsoft.com/sharepoint/v3/contenttype/forms"/>
  </ds:schemaRefs>
</ds:datastoreItem>
</file>

<file path=customXml/itemProps3.xml><?xml version="1.0" encoding="utf-8"?>
<ds:datastoreItem xmlns:ds="http://schemas.openxmlformats.org/officeDocument/2006/customXml" ds:itemID="{320CF63A-30C9-4A8C-8DF9-EA62B8EC1A62}">
  <ds:schemaRefs>
    <ds:schemaRef ds:uri="http://schemas.openxmlformats.org/package/2006/metadata/core-properties"/>
    <ds:schemaRef ds:uri="http://www.w3.org/XML/1998/namespace"/>
    <ds:schemaRef ds:uri="http://schemas.microsoft.com/office/2006/documentManagement/types"/>
    <ds:schemaRef ds:uri="http://purl.org/dc/terms/"/>
    <ds:schemaRef ds:uri="http://purl.org/dc/dcmitype/"/>
    <ds:schemaRef ds:uri="c5b79d58-b38a-4b87-b38c-f1f3f0d5c921"/>
    <ds:schemaRef ds:uri="http://purl.org/dc/elements/1.1/"/>
    <ds:schemaRef ds:uri="http://schemas.microsoft.com/office/infopath/2007/PartnerControls"/>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Worklog_Tasks&amp;Times</vt:lpstr>
      <vt:lpstr>Overview</vt:lpstr>
      <vt:lpstr>Drop-downs</vt:lpstr>
      <vt:lpstr>'Worklog_Tasks&amp;Times'!Print_Area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Ceren Kurt</dc:creator>
  <cp:keywords/>
  <dc:description/>
  <cp:lastModifiedBy>Kurt, Ceren (243910)</cp:lastModifiedBy>
  <cp:revision/>
  <dcterms:created xsi:type="dcterms:W3CDTF">2020-05-11T09:26:10Z</dcterms:created>
  <dcterms:modified xsi:type="dcterms:W3CDTF">2025-04-11T13:21:24Z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0x0101008452308C42A05C4396E8C3F2DAA23FBB</vt:lpwstr>
  </property>
  <property fmtid="{D5CDD505-2E9C-101B-9397-08002B2CF9AE}" pid="3" name="MediaServiceImageTags">
    <vt:lpwstr/>
  </property>
</Properties>
</file>