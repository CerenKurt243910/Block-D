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cerre\Downloads\"/>
    </mc:Choice>
  </mc:AlternateContent>
  <xr:revisionPtr revIDLastSave="0" documentId="13_ncr:1_{715B3E5D-368F-486C-92AB-27239ACA6B49}" xr6:coauthVersionLast="47" xr6:coauthVersionMax="47" xr10:uidLastSave="{00000000-0000-0000-0000-000000000000}"/>
  <bookViews>
    <workbookView xWindow="-108" yWindow="-108" windowWidth="23256" windowHeight="12456" xr2:uid="{526F01F3-B9A4-4AB8-BF2F-8E2F4443F7C9}"/>
  </bookViews>
  <sheets>
    <sheet name="1D" sheetId="17"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0" i="17" l="1"/>
  <c r="J36" i="17"/>
  <c r="J32" i="17"/>
  <c r="J28" i="17"/>
  <c r="J24" i="17"/>
  <c r="J20" i="17"/>
  <c r="J16" i="17"/>
  <c r="L42" i="17" l="1"/>
  <c r="J42" i="17"/>
  <c r="J5" i="17" s="1"/>
  <c r="K5" i="17" s="1"/>
</calcChain>
</file>

<file path=xl/sharedStrings.xml><?xml version="1.0" encoding="utf-8"?>
<sst xmlns="http://schemas.openxmlformats.org/spreadsheetml/2006/main" count="238" uniqueCount="134">
  <si>
    <t> </t>
  </si>
  <si>
    <t>Student Self-Assessment</t>
  </si>
  <si>
    <t>Details</t>
  </si>
  <si>
    <t>Description</t>
  </si>
  <si>
    <t>Comments About Self-Assessment Result</t>
  </si>
  <si>
    <t>Self-Assessed  Grade</t>
  </si>
  <si>
    <t>Student Number</t>
  </si>
  <si>
    <t>Student Name</t>
  </si>
  <si>
    <t>Project</t>
  </si>
  <si>
    <t>Opportunity</t>
  </si>
  <si>
    <t>Project Deadline</t>
  </si>
  <si>
    <t>Grading Rubric</t>
  </si>
  <si>
    <t>PRE-REQUISITES</t>
  </si>
  <si>
    <t>ILO COMPONENTS</t>
  </si>
  <si>
    <t>Score</t>
  </si>
  <si>
    <t>Total</t>
  </si>
  <si>
    <t>ILO 1</t>
  </si>
  <si>
    <t>Professional practice. The student can collaborate (internationally) in multidisciplinary teams with different levels of knowledge in the field of data use and applications. They can set up and execute projects in collaboration with stakeholders and team members. They can act as a sounding board in discussions with team members, customers, users and experts. They strive for a good balance between input of their own vision and additional expertise of others. They are able to lead a team. </t>
  </si>
  <si>
    <t>pre-requisites</t>
  </si>
  <si>
    <t>A: 6 points</t>
  </si>
  <si>
    <t>B: 10 points</t>
  </si>
  <si>
    <t>C: 4 points</t>
  </si>
  <si>
    <t>Dublin descriptor: 1, 2, 3</t>
  </si>
  <si>
    <t>1.4 The student works effectively and responsibly based on agreed-upon priorities using constructive reflection and effective communication to achieve short and long-term project goals.</t>
  </si>
  <si>
    <t>Student submitted a complete learning log, work log and self-assessment rubric. Clear individual contributions to the project are documented. Student takes a fair amount of work at the shoulders, evidenced by peer review. The student obtained at least 10 points in week 9-10 challenges.</t>
  </si>
  <si>
    <t xml:space="preserve">The student actively and proactively participates in all project events (e.g. stand-up, retrospective, demonstrations, presentations, project planning). The student demonstrates a professional capacity to communicate with different audiences, collects feedback from team member and stakeholders, and forms action points based on the outcomes.
</t>
  </si>
  <si>
    <t>The student takes responsibility for a fair amount of the work and clearly contributes to the project outcomes. The student takes responsibility for the outcomes of their work and team/project interactions as demonstrated by the peer review and the execution of the project plan.</t>
  </si>
  <si>
    <t>The student demonstrates the ability to adjust to changes in the project plan as conditions, requirements or priorities change. The student is receptive of peer and stakeholder feedback, and actively and constructively works to help their peers improve the quality of their project contributions. The student proposes solutions and/or improvements to the team dynamics.</t>
  </si>
  <si>
    <t>/</t>
  </si>
  <si>
    <t xml:space="preserve">select points: </t>
  </si>
  <si>
    <t>yes</t>
  </si>
  <si>
    <t>ILO 2</t>
  </si>
  <si>
    <t xml:space="preserve">Personal Development &amp; Academic Practice. The student applies relevant (research) methods and techniques in combination with relevant and adequate argumentation. They can reflect on (business) processes and their role in them, both theoretically and practically, by constantly evaluating their own actions and adapting them with input from others. They can translate the result of the reflection into concrete personal learning objectives. </t>
  </si>
  <si>
    <t>A: 10 points</t>
  </si>
  <si>
    <t xml:space="preserve">2.4 The student demonstrates the ability to provide constructive, specific, and actionable feedback through structured peer review, contributing to the improvement and development of their peers’ work.
</t>
  </si>
  <si>
    <t>The student submits a complete learning log, work log, and self-assessment rubric. The student exhibits professional behaviour during DataLab sessions. The student filled in the peer review form for all of their peers. The student obtained at least 10 points in week 9-10 challenges.</t>
  </si>
  <si>
    <t xml:space="preserve">The student provides peer feedback that is extensive, clear, respectful, and professional, addressing key aspects of the peer’s work and offering actionable suggestions for improvement. The student supports their feedback with specific examples from the peer's work. The student ensures that their feedback is aligned with the objectives outlined in the peer review process. 
</t>
  </si>
  <si>
    <t>ILO 3</t>
  </si>
  <si>
    <t xml:space="preserve">Ethical and Legal Responsibility. The student is aware of legal and ethical aspects within the context of their professional work environment and is able to make substantiated considerations in this regard. They act with justice and integrity. </t>
  </si>
  <si>
    <t>A: 7 points</t>
  </si>
  <si>
    <t>B: 3 points</t>
  </si>
  <si>
    <t xml:space="preserve">3.3 The student demonstrates the basic knowledge of european legal frameworks governing AI by providing evidence of legal decision-making while working with (privacy-sensitive) data.	
</t>
  </si>
  <si>
    <t>The student is able to individually identify the level of risk associated with their AI system and explain it clearly using relevant legal frameworks.</t>
  </si>
  <si>
    <t xml:space="preserve">The student collaboratively identifies and motivates the level of risk associated with the developed AI system as well applicable legal requirements using relevant legal frameworks. </t>
  </si>
  <si>
    <t>ILO 4</t>
  </si>
  <si>
    <t>Problem Analysis. The student can analyze a problem by describing the context, trade-offs and formulation of the final demand (as a result of a process of demand articulation). In doing so, they identify the possible solutions. As a result, they can formulate an approach for a data trajectory considering relevant actors and interests, involving relevant theories and (technical) possibilities. </t>
  </si>
  <si>
    <t>A: 2 points</t>
  </si>
  <si>
    <t>C: 5 points</t>
  </si>
  <si>
    <t xml:space="preserve">4.2 The student demonstrates the ability to analyse a problem and propose a working plan and implementations to provide a solution to the problem statement. </t>
  </si>
  <si>
    <t xml:space="preserve">The student is able to create a feasible project proposal including a project planning. The student demonstrates an understanding of the business context and the proposal aligns with the project requirements. </t>
  </si>
  <si>
    <t xml:space="preserve">The student is able to combine their individual project proposals into a group project proposal including a project planning. The student demonstrates an understanding of the business context and the proposal aligns with the project requirements. </t>
  </si>
  <si>
    <t>ILO 6</t>
  </si>
  <si>
    <t>Data Collection and Processing. The student masters (technological) skills to acquire, pre-process, process and manage the necessary data to create value for individuals, organizations and domains. </t>
  </si>
  <si>
    <t>A: 4 points</t>
  </si>
  <si>
    <t>B: 5 points</t>
  </si>
  <si>
    <t>C: 6 points</t>
  </si>
  <si>
    <t>6.3 The student is able to design an implement data storage solutions, perform ETL operations to gather data, process it and store it in a structured format.</t>
  </si>
  <si>
    <t>The student is able to demonstrate understanding of intermediate level SQL and database fundamentals.</t>
  </si>
  <si>
    <t>The student is able to design an appropriate data storage solution for their project. The storage solution needs to align with the client requirements and should consider; security, privacy, data characteristics and access patterns in its design. The data storage solution is managed through code and can be deployed and/or reproduced.</t>
  </si>
  <si>
    <t>The student is able to create a solution to that can extract data from a variety of data sources if required. Perform transformations such pre processing or post processing the data and load the data into a suitable storage solution for their project. The solution needs to be well documented. The design of the solution should consider, deployability, scalability and reliability.</t>
  </si>
  <si>
    <t>ILO 8</t>
  </si>
  <si>
    <t>Modelling. The student can apply modelling techniques including Machine Learning and AI to create value for individuals, organizations and domains. </t>
  </si>
  <si>
    <t>B: 6 points</t>
  </si>
  <si>
    <t>C: 8 points</t>
  </si>
  <si>
    <t>8.4 The student demonstrates proficiency in designing and implementing machine learning models, integrating them into end-to-end pipelines aligned with business objectives, iteratively improving these pipelines, and rigorously evaluating model performance to ensure reliability and effectiveness.</t>
  </si>
  <si>
    <t>The student demonstrates the ability to design and implement machine learning models for the business objective using industry-standard frameworks.</t>
  </si>
  <si>
    <t>The student demonstrates the ability to critically evaluate machine learning models by applying appropriate performance metrics, conducting error analysis, and validating performance through cross-validation and external validation, ensuring alignment with the business objective.</t>
  </si>
  <si>
    <t>The student demonstrates the ability to iteratively refine machine learning models by employing appropriate techniques to enhance performance while ensuring alignment with the business objective.</t>
  </si>
  <si>
    <t>ILO 9</t>
  </si>
  <si>
    <t>Design, Prototyping and Implementation. The student can develop a prototype using an iterative cycle, explicitly involving stakeholders, and implement applications within an (existing) architecture. </t>
  </si>
  <si>
    <t>D: 4 points</t>
  </si>
  <si>
    <t>9.2 The student demonstrates competency in the design, testing, and deployment of stakeholder-focused solutions using iterative development, creating maintainable, production-ready code following industry standards, and collaborates effectively with tools like version control and virtual environments.</t>
  </si>
  <si>
    <t xml:space="preserve">The student demonstrates competency in the use of virtual environments, package managers, and code version control tools for collaborating on group data science projects. </t>
  </si>
  <si>
    <t>The student is able to create modular code that is at a basic level production ready and maintainable according to industry standards through the use of logging, linting, doc strings, code formatting for readability, refactoring etc.</t>
  </si>
  <si>
    <t xml:space="preserve">The student is able to develop meaningful Unit tests to contribute to the maintainability of a code base with multiple contributors to acceptable test coverage levels for The student project. The student uses industry standard tools to produce professional documentation for the project and code base.
</t>
  </si>
  <si>
    <t>The student is able to produce a proof of concept  application or dashboard to  present the solution in a user friendly manner to non-technical stakeholders.</t>
  </si>
  <si>
    <t>CRISP-DM Cycle</t>
  </si>
  <si>
    <t>CRISP Phase</t>
  </si>
  <si>
    <t>Competency</t>
  </si>
  <si>
    <t>Graduate Level</t>
  </si>
  <si>
    <t>Professional Development</t>
  </si>
  <si>
    <t xml:space="preserve">Project management and cooperation </t>
  </si>
  <si>
    <t>The student can collaborate (internationally) in multidisciplinary teams with different levels of knowledge in the field of data use and applications. The student can set up and execute projects in collaboration with stakeholders and team members. The student can act as a sounding board in discussions with team members, customers, users and experts. The student strives for a good balance between input of her own vision and additional expertise of others. The student is able to lead a team.</t>
  </si>
  <si>
    <t xml:space="preserve">Researching and reflective attitude </t>
  </si>
  <si>
    <t>The student applies relevant (research) methods and techniques in combination with relevant and adequate argumentation. The student can reflect on (business) processes and her role in them, both theoretically and practically, by constantly evaluating her own actions and adapting them with input from others. The student can translate the result of the reflection into concrete personal learning objectives.</t>
  </si>
  <si>
    <t>Responsibility</t>
  </si>
  <si>
    <t>The student is aware of legal and ethical aspects within the context of her professional work environment and is able to make substantiated considerations in this regard. The student acts from justice and integrity.</t>
  </si>
  <si>
    <t>Business understanding</t>
  </si>
  <si>
    <t>Problem analysis</t>
  </si>
  <si>
    <t>The student cn analyse a problem by describing the context, trade-offs and formulation of the final demand (as a result of a process of demand articulation). In doing so, The student identifies the possible solutions. As a result, The student can formulate an approach for a data trajectory considering relevant actors and interests, involving relevant theories and (technical) possibilities.</t>
  </si>
  <si>
    <t>Domain knowledge</t>
  </si>
  <si>
    <t>The student has such knowledge of and insight into one or more domains that The student can function as a discussion partner for experts. The student is able to quickly immerse herself in new domains and associated professional networks.</t>
  </si>
  <si>
    <t>Data understanding</t>
  </si>
  <si>
    <t>Data collection and processing</t>
  </si>
  <si>
    <t>The student masters (programming) skills to acquire, pre-process, process and manage the necessary data to create value for individuals, organizations and domains.</t>
  </si>
  <si>
    <t>Data preparation</t>
  </si>
  <si>
    <t>Data analysis</t>
  </si>
  <si>
    <t>The studentan can use analytical and statistical methods to analyse data to create value for individuals, organizations and domains.</t>
  </si>
  <si>
    <t>Modelling</t>
  </si>
  <si>
    <t>The studentan apply modelling techniques including Machine Learning and AI to create value for individuals, organizations and domains.</t>
  </si>
  <si>
    <t>Design, prototyping and implementation</t>
  </si>
  <si>
    <t>The studentan develop a prototype using an iterative cycle, explicitly involving stakeholders, and implement applications within an (existing) architecture.</t>
  </si>
  <si>
    <t>Evaluation &amp; Deployment</t>
  </si>
  <si>
    <t>Visualisation</t>
  </si>
  <si>
    <t>The student can apply visualization and storytelling techniques and skills to effectively and accurately inform stakeholders about (interim) results of AI and DS approaches.</t>
  </si>
  <si>
    <t>Reporting and advising</t>
  </si>
  <si>
    <t>The studentan can translate (interim) results into effective reporting. The student sees opportunities and possibilities and can translate these from a market-oriented vision into new concepts, products or services, while keeping the business side of the organization in mind.</t>
  </si>
  <si>
    <t>Dublin Descriptors</t>
  </si>
  <si>
    <t>#</t>
  </si>
  <si>
    <t>Outcomes</t>
  </si>
  <si>
    <t>First cycle qualifications (Bachelor Level)
Qualifications that signify completion of the first cycle are awarded to student who:</t>
  </si>
  <si>
    <t>Second cycle qualifications (Master Level)
Qualifications that signify completion of the second cycle are awarded to student who:</t>
  </si>
  <si>
    <t>Knowledge and Understanding</t>
  </si>
  <si>
    <t>Have demonstrated knowledge and understanding in a field of study that builds upon their general secondary education, and is typically at a level that, while supported by advanced textbooks, includes some aspects that will be informed by knowledge of the forefront of their field of study.</t>
  </si>
  <si>
    <t>Have demonstrated knowledge and understanding that is founded upon and extends and/or enhances that typically associated with the first cycle, and that provides a basis or opportunity for originality in developing and/or applying ideas, often within a research context.</t>
  </si>
  <si>
    <t>Applying Knowledge and Understanding</t>
  </si>
  <si>
    <t>Can apply their knowledge and understanding in a manner that indicates a professional approach to their work or vocation, and have competences typically demonstrated through devising and sustaining arguments and solving problems within their field of study.</t>
  </si>
  <si>
    <t>Can apply their knowledge and understanding, and problem solving abilities in new or unfamiliar environments within broader (or multidisciplinary) contexts related to their field of study.</t>
  </si>
  <si>
    <t>Making Judgements</t>
  </si>
  <si>
    <t>Have the ability to gather and interpret relevant data (usually within their field of study) to inform judgements that include reflection on relevant social, scientific or ethical issues.</t>
  </si>
  <si>
    <t>Have the ability to integrate knowledge and handle complexity, and formulate judgements with incomplete or limited information, but that include reflecting on social and ethical responsibilities linked to the application of their knowledge and judgements.</t>
  </si>
  <si>
    <t>Communication</t>
  </si>
  <si>
    <t>Can communicate information, ideas, problems and solutions to both specialist and non- specialist audiences.</t>
  </si>
  <si>
    <t>Can communicate their conclusions, and the knowledge and rationale underpinning these, to specialist and non-specialist audiences clearly and unambiguously.</t>
  </si>
  <si>
    <t>Learning Skills</t>
  </si>
  <si>
    <t>Have developed those learning skills that are necessary for them to continue to undertake further study with a high degree of autonomy.</t>
  </si>
  <si>
    <t>Have the learning skills to allow them to continue to study in a manner that may be largely self-directed or autonomous.</t>
  </si>
  <si>
    <t xml:space="preserve"> Clear individual contribution to this ILO is documented. The student exhibits professional behaviour during DataLab sessions. </t>
  </si>
  <si>
    <t xml:space="preserve">Clear individual contribution to this ILO is documented. The student exhibits professional behaviour during DataLab sessions. </t>
  </si>
  <si>
    <t>The student is able to present the project outcomes, highlighting the value for the project objectives and/or client requirements and addressing the business value. The student delivers the presentation in a well-structured, clear manner.</t>
  </si>
  <si>
    <t>Clear individual contribution to this ILO is documented. The student exhibits professional behaviour during DataLab sessions. Python scripts are submitted.</t>
  </si>
  <si>
    <t>Ceren Kurt</t>
  </si>
  <si>
    <t xml:space="preserve">Smart Predict Block D </t>
  </si>
  <si>
    <t xml:space="preserve">First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</si>
</sst>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Aptos Narrow"/>
      <family val="2"/>
      <scheme val="minor"/>
    </font>
    <font>
      <b/>
      <sz val="11"/>
      <color rgb="FF000000"/>
      <name val="Aptos Narrow"/>
      <family val="2"/>
      <scheme val="minor"/>
    </font>
    <font>
      <sz val="10"/>
      <name val="Calibri"/>
      <family val="2"/>
    </font>
    <font>
      <sz val="18"/>
      <color theme="1"/>
      <name val="Calibri"/>
      <family val="2"/>
    </font>
    <font>
      <sz val="10"/>
      <color theme="0"/>
      <name val="Calibri"/>
      <family val="2"/>
    </font>
    <font>
      <b/>
      <sz val="10"/>
      <color theme="0"/>
      <name val="Calibri"/>
      <family val="2"/>
    </font>
    <font>
      <b/>
      <sz val="10"/>
      <color rgb="FFFFFFFF"/>
      <name val="Calibri"/>
      <family val="2"/>
    </font>
    <font>
      <b/>
      <sz val="14"/>
      <name val="Calibri"/>
      <family val="2"/>
    </font>
    <font>
      <i/>
      <sz val="10"/>
      <color rgb="FF000000"/>
      <name val="Calibri"/>
      <family val="2"/>
    </font>
    <font>
      <sz val="10"/>
      <name val="Arial"/>
      <family val="2"/>
    </font>
    <font>
      <b/>
      <sz val="24"/>
      <color theme="1"/>
      <name val="Calibri"/>
      <family val="2"/>
    </font>
    <font>
      <sz val="14"/>
      <color theme="1"/>
      <name val="Calibri"/>
      <family val="2"/>
    </font>
    <font>
      <sz val="10"/>
      <color theme="1"/>
      <name val="Calibri"/>
      <family val="2"/>
    </font>
    <font>
      <b/>
      <sz val="10"/>
      <color theme="1"/>
      <name val="Calibri"/>
      <family val="2"/>
    </font>
    <font>
      <b/>
      <sz val="11"/>
      <color rgb="FF000000"/>
      <name val="Aptos"/>
      <family val="2"/>
    </font>
    <font>
      <sz val="14"/>
      <color rgb="FF000000"/>
      <name val="Calibri"/>
      <family val="2"/>
    </font>
    <font>
      <b/>
      <sz val="11"/>
      <color rgb="FF000000"/>
      <name val="Calibri"/>
      <family val="2"/>
    </font>
    <font>
      <sz val="11"/>
      <color theme="1"/>
      <name val="Calibri"/>
      <family val="2"/>
    </font>
    <font>
      <sz val="10"/>
      <color rgb="FF000000"/>
      <name val="Calibri"/>
      <family val="2"/>
    </font>
    <font>
      <sz val="11"/>
      <name val="Calibri"/>
      <family val="2"/>
    </font>
    <font>
      <sz val="18"/>
      <color rgb="FF000000"/>
      <name val="Calibri"/>
      <family val="2"/>
    </font>
    <font>
      <sz val="9"/>
      <color rgb="FF000000"/>
      <name val="Calibri"/>
      <family val="2"/>
    </font>
    <font>
      <b/>
      <sz val="10"/>
      <name val="Calibri"/>
      <family val="2"/>
    </font>
    <font>
      <sz val="14"/>
      <color theme="1"/>
      <name val="Aptos Narrow"/>
      <family val="2"/>
      <scheme val="minor"/>
    </font>
    <font>
      <b/>
      <sz val="14"/>
      <color theme="1"/>
      <name val="Aptos Narrow"/>
      <family val="2"/>
      <scheme val="minor"/>
    </font>
    <font>
      <b/>
      <sz val="10"/>
      <color rgb="FF000000"/>
      <name val="Calibri"/>
      <family val="2"/>
    </font>
    <font>
      <sz val="10"/>
      <color rgb="FF000000"/>
      <name val="Calibri"/>
      <family val="2"/>
    </font>
    <font>
      <b/>
      <sz val="11"/>
      <color rgb="FF000000"/>
      <name val="Calibri"/>
      <family val="2"/>
    </font>
    <font>
      <b/>
      <sz val="11"/>
      <color rgb="FF000000"/>
      <name val="Aptos"/>
    </font>
    <font>
      <b/>
      <sz val="10"/>
      <color rgb="FF000000"/>
      <name val="Calibri"/>
      <family val="2"/>
    </font>
    <font>
      <sz val="11"/>
      <color rgb="FF000000"/>
      <name val="Calibri"/>
      <family val="2"/>
    </font>
  </fonts>
  <fills count="30">
    <fill>
      <patternFill patternType="none"/>
    </fill>
    <fill>
      <patternFill patternType="gray125"/>
    </fill>
    <fill>
      <patternFill patternType="solid">
        <fgColor theme="0"/>
        <bgColor indexed="64"/>
      </patternFill>
    </fill>
    <fill>
      <patternFill patternType="solid">
        <fgColor theme="5"/>
        <bgColor indexed="64"/>
      </patternFill>
    </fill>
    <fill>
      <patternFill patternType="solid">
        <fgColor theme="5" tint="0.79998168889431442"/>
        <bgColor indexed="64"/>
      </patternFill>
    </fill>
    <fill>
      <patternFill patternType="solid">
        <fgColor theme="1"/>
        <bgColor rgb="FF000000"/>
      </patternFill>
    </fill>
    <fill>
      <patternFill patternType="solid">
        <fgColor theme="1"/>
        <bgColor rgb="FFFFFF00"/>
      </patternFill>
    </fill>
    <fill>
      <patternFill patternType="solid">
        <fgColor theme="1"/>
        <bgColor rgb="FFF7DCE8"/>
      </patternFill>
    </fill>
    <fill>
      <patternFill patternType="solid">
        <fgColor rgb="FF000000"/>
        <bgColor rgb="FF000000"/>
      </patternFill>
    </fill>
    <fill>
      <patternFill patternType="solid">
        <fgColor rgb="FFFFFF00"/>
        <bgColor indexed="64"/>
      </patternFill>
    </fill>
    <fill>
      <patternFill patternType="solid">
        <fgColor theme="1"/>
        <bgColor indexed="64"/>
      </patternFill>
    </fill>
    <fill>
      <patternFill patternType="solid">
        <fgColor theme="2" tint="-9.9978637043366805E-2"/>
        <bgColor indexed="64"/>
      </patternFill>
    </fill>
    <fill>
      <patternFill patternType="solid">
        <fgColor rgb="FFFEF2CD"/>
        <bgColor indexed="64"/>
      </patternFill>
    </fill>
    <fill>
      <patternFill patternType="solid">
        <fgColor rgb="FFFFE1CC"/>
        <bgColor indexed="64"/>
      </patternFill>
    </fill>
    <fill>
      <patternFill patternType="solid">
        <fgColor theme="5" tint="0.59999389629810485"/>
        <bgColor indexed="64"/>
      </patternFill>
    </fill>
    <fill>
      <patternFill patternType="solid">
        <fgColor rgb="FFBDBDBD"/>
        <bgColor rgb="FFBDBDBD"/>
      </patternFill>
    </fill>
    <fill>
      <patternFill patternType="solid">
        <fgColor theme="5"/>
        <bgColor theme="5"/>
      </patternFill>
    </fill>
    <fill>
      <patternFill patternType="solid">
        <fgColor theme="0" tint="-4.9989318521683403E-2"/>
        <bgColor rgb="FFFFFFFF"/>
      </patternFill>
    </fill>
    <fill>
      <patternFill patternType="solid">
        <fgColor theme="0" tint="-4.9989318521683403E-2"/>
        <bgColor indexed="64"/>
      </patternFill>
    </fill>
    <fill>
      <patternFill patternType="solid">
        <fgColor theme="0" tint="-4.9989318521683403E-2"/>
        <bgColor rgb="FFD9D9D9"/>
      </patternFill>
    </fill>
    <fill>
      <patternFill patternType="solid">
        <fgColor theme="0" tint="-0.249977111117893"/>
        <bgColor rgb="FFF3F3F3"/>
      </patternFill>
    </fill>
    <fill>
      <patternFill patternType="solid">
        <fgColor theme="0" tint="-0.249977111117893"/>
        <bgColor indexed="64"/>
      </patternFill>
    </fill>
    <fill>
      <patternFill patternType="solid">
        <fgColor theme="0" tint="-0.14999847407452621"/>
        <bgColor rgb="FFF3F3F3"/>
      </patternFill>
    </fill>
    <fill>
      <patternFill patternType="solid">
        <fgColor theme="0" tint="-0.14999847407452621"/>
        <bgColor indexed="64"/>
      </patternFill>
    </fill>
    <fill>
      <patternFill patternType="solid">
        <fgColor theme="0" tint="-0.249977111117893"/>
        <bgColor rgb="FFD9D9D9"/>
      </patternFill>
    </fill>
    <fill>
      <patternFill patternType="solid">
        <fgColor theme="0" tint="-0.14999847407452621"/>
        <bgColor rgb="FFD9D9D9"/>
      </patternFill>
    </fill>
    <fill>
      <patternFill patternType="solid">
        <fgColor rgb="FFD9D9D9"/>
        <bgColor rgb="FFD9D9D9"/>
      </patternFill>
    </fill>
    <fill>
      <patternFill patternType="solid">
        <fgColor rgb="FFFFFFFF"/>
        <bgColor rgb="FFFFFFFF"/>
      </patternFill>
    </fill>
    <fill>
      <patternFill patternType="solid">
        <fgColor rgb="FFF7C7AC"/>
        <bgColor rgb="FF000000"/>
      </patternFill>
    </fill>
    <fill>
      <patternFill patternType="solid">
        <fgColor rgb="FFFFE1CC"/>
        <bgColor rgb="FFFCE5CD"/>
      </patternFill>
    </fill>
  </fills>
  <borders count="1">
    <border>
      <left/>
      <right/>
      <top/>
      <bottom/>
      <diagonal/>
    </border>
  </borders>
  <cellStyleXfs count="1">
    <xf numFmtId="0" fontId="0" fillId="0" borderId="0"/>
  </cellStyleXfs>
  <cellXfs count="121">
    <xf numFmtId="0" fontId="0" fillId="0" borderId="0" xfId="0"/>
    <xf numFmtId="0" fontId="0" fillId="2" borderId="0" xfId="0" applyFill="1"/>
    <xf numFmtId="0" fontId="2" fillId="3" borderId="0" xfId="0" applyFont="1" applyFill="1"/>
    <xf numFmtId="0" fontId="2" fillId="2" borderId="0" xfId="0" applyFont="1" applyFill="1"/>
    <xf numFmtId="0" fontId="2" fillId="4" borderId="0" xfId="0" applyFont="1" applyFill="1"/>
    <xf numFmtId="0" fontId="3" fillId="4" borderId="0" xfId="0" applyFont="1" applyFill="1"/>
    <xf numFmtId="0" fontId="4" fillId="3" borderId="0" xfId="0" applyFont="1" applyFill="1"/>
    <xf numFmtId="0" fontId="4" fillId="4" borderId="0" xfId="0" applyFont="1" applyFill="1"/>
    <xf numFmtId="0" fontId="5" fillId="5" borderId="0" xfId="0" applyFont="1" applyFill="1" applyAlignment="1">
      <alignment horizontal="right"/>
    </xf>
    <xf numFmtId="49" fontId="5" fillId="6" borderId="0" xfId="0" applyNumberFormat="1" applyFont="1" applyFill="1" applyAlignment="1">
      <alignment horizontal="left"/>
    </xf>
    <xf numFmtId="0" fontId="5" fillId="7" borderId="0" xfId="0" applyFont="1" applyFill="1"/>
    <xf numFmtId="0" fontId="6" fillId="8" borderId="0" xfId="0" applyFont="1" applyFill="1" applyAlignment="1">
      <alignment vertical="top"/>
    </xf>
    <xf numFmtId="0" fontId="6" fillId="8" borderId="0" xfId="0" applyFont="1" applyFill="1" applyAlignment="1">
      <alignment horizontal="center" vertical="top"/>
    </xf>
    <xf numFmtId="0" fontId="4" fillId="2" borderId="0" xfId="0" applyFont="1" applyFill="1"/>
    <xf numFmtId="0" fontId="7" fillId="4" borderId="0" xfId="0" applyFont="1" applyFill="1" applyAlignment="1">
      <alignment horizontal="center" vertical="center" textRotation="90"/>
    </xf>
    <xf numFmtId="0" fontId="6" fillId="8" borderId="0" xfId="0" applyFont="1" applyFill="1"/>
    <xf numFmtId="0" fontId="8" fillId="9" borderId="0" xfId="0" applyFont="1" applyFill="1"/>
    <xf numFmtId="0" fontId="9" fillId="2" borderId="0" xfId="0" applyFont="1" applyFill="1" applyAlignment="1">
      <alignment horizontal="left" vertical="top"/>
    </xf>
    <xf numFmtId="49" fontId="6" fillId="8" borderId="0" xfId="0" applyNumberFormat="1" applyFont="1" applyFill="1" applyAlignment="1">
      <alignment horizontal="center"/>
    </xf>
    <xf numFmtId="49" fontId="6" fillId="10" borderId="0" xfId="0" applyNumberFormat="1" applyFont="1" applyFill="1" applyAlignment="1">
      <alignment horizontal="center"/>
    </xf>
    <xf numFmtId="49" fontId="6" fillId="4" borderId="0" xfId="0" applyNumberFormat="1" applyFont="1" applyFill="1" applyAlignment="1">
      <alignment horizontal="center"/>
    </xf>
    <xf numFmtId="0" fontId="12" fillId="4" borderId="0" xfId="0" applyFont="1" applyFill="1"/>
    <xf numFmtId="0" fontId="14" fillId="11" borderId="0" xfId="0" applyFont="1" applyFill="1" applyAlignment="1">
      <alignment horizontal="left" vertical="center" wrapText="1"/>
    </xf>
    <xf numFmtId="0" fontId="15" fillId="11" borderId="0" xfId="0" applyFont="1" applyFill="1" applyAlignment="1">
      <alignment horizontal="center" vertical="center" wrapText="1"/>
    </xf>
    <xf numFmtId="0" fontId="15" fillId="4" borderId="0" xfId="0" applyFont="1" applyFill="1" applyAlignment="1">
      <alignment horizontal="center" vertical="center" wrapText="1"/>
    </xf>
    <xf numFmtId="0" fontId="16" fillId="11" borderId="0" xfId="0" applyFont="1" applyFill="1" applyAlignment="1">
      <alignment horizontal="left" vertical="center" wrapText="1"/>
    </xf>
    <xf numFmtId="0" fontId="16" fillId="11" borderId="0" xfId="0" applyFont="1" applyFill="1" applyAlignment="1">
      <alignment horizontal="center" vertical="center" wrapText="1"/>
    </xf>
    <xf numFmtId="0" fontId="16" fillId="3" borderId="0" xfId="0" applyFont="1" applyFill="1" applyAlignment="1">
      <alignment horizontal="center" vertical="top" wrapText="1"/>
    </xf>
    <xf numFmtId="0" fontId="14" fillId="11" borderId="0" xfId="0" applyFont="1" applyFill="1" applyAlignment="1">
      <alignment vertical="center" wrapText="1"/>
    </xf>
    <xf numFmtId="0" fontId="19" fillId="4" borderId="0" xfId="0" applyFont="1" applyFill="1"/>
    <xf numFmtId="0" fontId="17" fillId="4" borderId="0" xfId="0" applyFont="1" applyFill="1" applyAlignment="1">
      <alignment horizontal="right" vertical="center"/>
    </xf>
    <xf numFmtId="0" fontId="15" fillId="16" borderId="0" xfId="0" applyFont="1" applyFill="1" applyAlignment="1">
      <alignment horizontal="center" vertical="center" wrapText="1"/>
    </xf>
    <xf numFmtId="0" fontId="15" fillId="2" borderId="0" xfId="0" applyFont="1" applyFill="1" applyAlignment="1">
      <alignment horizontal="center" vertical="center" wrapText="1"/>
    </xf>
    <xf numFmtId="0" fontId="6" fillId="4" borderId="0" xfId="0" applyFont="1" applyFill="1" applyAlignment="1">
      <alignment vertical="top"/>
    </xf>
    <xf numFmtId="0" fontId="6" fillId="4" borderId="0" xfId="0" applyFont="1" applyFill="1" applyAlignment="1">
      <alignment horizontal="center" vertical="top"/>
    </xf>
    <xf numFmtId="0" fontId="6" fillId="8" borderId="0" xfId="0" applyFont="1" applyFill="1" applyAlignment="1">
      <alignment horizontal="right" vertical="top"/>
    </xf>
    <xf numFmtId="0" fontId="13" fillId="17" borderId="0" xfId="0" applyFont="1" applyFill="1" applyAlignment="1">
      <alignment vertical="center" wrapText="1"/>
    </xf>
    <xf numFmtId="0" fontId="21" fillId="18" borderId="0" xfId="0" applyFont="1" applyFill="1" applyAlignment="1">
      <alignment horizontal="left" vertical="center" wrapText="1"/>
    </xf>
    <xf numFmtId="0" fontId="2" fillId="17" borderId="0" xfId="0" applyFont="1" applyFill="1" applyAlignment="1">
      <alignment horizontal="center" vertical="center"/>
    </xf>
    <xf numFmtId="0" fontId="13" fillId="19" borderId="0" xfId="0" applyFont="1" applyFill="1" applyAlignment="1">
      <alignment vertical="center" wrapText="1"/>
    </xf>
    <xf numFmtId="0" fontId="2" fillId="19" borderId="0" xfId="0" applyFont="1" applyFill="1" applyAlignment="1">
      <alignment horizontal="center" vertical="center"/>
    </xf>
    <xf numFmtId="0" fontId="13" fillId="20" borderId="0" xfId="0" applyFont="1" applyFill="1" applyAlignment="1">
      <alignment vertical="center" wrapText="1"/>
    </xf>
    <xf numFmtId="0" fontId="21" fillId="21" borderId="0" xfId="0" applyFont="1" applyFill="1" applyAlignment="1">
      <alignment horizontal="left" vertical="center" wrapText="1"/>
    </xf>
    <xf numFmtId="0" fontId="2" fillId="20" borderId="0" xfId="0" applyFont="1" applyFill="1" applyAlignment="1">
      <alignment horizontal="center" vertical="center"/>
    </xf>
    <xf numFmtId="0" fontId="13" fillId="22" borderId="0" xfId="0" applyFont="1" applyFill="1" applyAlignment="1">
      <alignment vertical="center" wrapText="1"/>
    </xf>
    <xf numFmtId="0" fontId="21" fillId="23" borderId="0" xfId="0" applyFont="1" applyFill="1" applyAlignment="1">
      <alignment horizontal="left" vertical="center" wrapText="1"/>
    </xf>
    <xf numFmtId="0" fontId="2" fillId="22" borderId="0" xfId="0" applyFont="1" applyFill="1" applyAlignment="1">
      <alignment horizontal="center" vertical="center"/>
    </xf>
    <xf numFmtId="0" fontId="2" fillId="3" borderId="0" xfId="0" applyFont="1" applyFill="1" applyAlignment="1">
      <alignment horizontal="left" vertical="top"/>
    </xf>
    <xf numFmtId="0" fontId="2" fillId="4" borderId="0" xfId="0" applyFont="1" applyFill="1" applyAlignment="1">
      <alignment horizontal="left" vertical="top"/>
    </xf>
    <xf numFmtId="0" fontId="13" fillId="24" borderId="0" xfId="0" applyFont="1" applyFill="1" applyAlignment="1">
      <alignment vertical="center" wrapText="1"/>
    </xf>
    <xf numFmtId="0" fontId="2" fillId="24" borderId="0" xfId="0" applyFont="1" applyFill="1" applyAlignment="1">
      <alignment horizontal="center" vertical="center"/>
    </xf>
    <xf numFmtId="0" fontId="15" fillId="4" borderId="0" xfId="0" applyFont="1" applyFill="1" applyAlignment="1">
      <alignment horizontal="left" vertical="top" wrapText="1"/>
    </xf>
    <xf numFmtId="0" fontId="13" fillId="25" borderId="0" xfId="0" applyFont="1" applyFill="1" applyAlignment="1">
      <alignment vertical="center" wrapText="1"/>
    </xf>
    <xf numFmtId="0" fontId="2" fillId="25" borderId="0" xfId="0" applyFont="1" applyFill="1" applyAlignment="1">
      <alignment horizontal="center" vertical="center"/>
    </xf>
    <xf numFmtId="0" fontId="2" fillId="3" borderId="0" xfId="0" applyFont="1" applyFill="1" applyAlignment="1">
      <alignment vertical="top"/>
    </xf>
    <xf numFmtId="0" fontId="12" fillId="4" borderId="0" xfId="0" applyFont="1" applyFill="1" applyAlignment="1">
      <alignment vertical="top"/>
    </xf>
    <xf numFmtId="0" fontId="15" fillId="4" borderId="0" xfId="0" applyFont="1" applyFill="1" applyAlignment="1">
      <alignment horizontal="center" vertical="top" wrapText="1"/>
    </xf>
    <xf numFmtId="0" fontId="6" fillId="4" borderId="0" xfId="0" applyFont="1" applyFill="1"/>
    <xf numFmtId="0" fontId="18" fillId="4" borderId="0" xfId="0" applyFont="1" applyFill="1"/>
    <xf numFmtId="0" fontId="6" fillId="8" borderId="0" xfId="0" applyFont="1" applyFill="1" applyAlignment="1">
      <alignment wrapText="1"/>
    </xf>
    <xf numFmtId="0" fontId="22" fillId="0" borderId="0" xfId="0" applyFont="1" applyAlignment="1">
      <alignment horizontal="left"/>
    </xf>
    <xf numFmtId="0" fontId="2" fillId="0" borderId="0" xfId="0" applyFont="1" applyAlignment="1">
      <alignment wrapText="1"/>
    </xf>
    <xf numFmtId="0" fontId="22" fillId="26" borderId="0" xfId="0" applyFont="1" applyFill="1" applyAlignment="1">
      <alignment horizontal="left"/>
    </xf>
    <xf numFmtId="0" fontId="2" fillId="26" borderId="0" xfId="0" applyFont="1" applyFill="1" applyAlignment="1">
      <alignment wrapText="1"/>
    </xf>
    <xf numFmtId="0" fontId="25" fillId="11" borderId="0" xfId="0" applyFont="1" applyFill="1" applyAlignment="1">
      <alignment horizontal="center" vertical="center" wrapText="1"/>
    </xf>
    <xf numFmtId="0" fontId="16" fillId="3" borderId="0" xfId="0" applyFont="1" applyFill="1" applyAlignment="1">
      <alignment horizontal="center" vertical="center" wrapText="1"/>
    </xf>
    <xf numFmtId="0" fontId="16" fillId="2" borderId="0" xfId="0" applyFont="1" applyFill="1" applyAlignment="1">
      <alignment horizontal="left" vertical="top" wrapText="1"/>
    </xf>
    <xf numFmtId="0" fontId="23" fillId="2" borderId="0" xfId="0" applyFont="1" applyFill="1"/>
    <xf numFmtId="0" fontId="24" fillId="2" borderId="0" xfId="0" applyFont="1" applyFill="1"/>
    <xf numFmtId="49" fontId="23" fillId="2" borderId="0" xfId="0" applyNumberFormat="1" applyFont="1" applyFill="1"/>
    <xf numFmtId="49" fontId="24" fillId="2" borderId="0" xfId="0" applyNumberFormat="1" applyFont="1" applyFill="1"/>
    <xf numFmtId="0" fontId="27" fillId="11" borderId="0" xfId="0" applyFont="1" applyFill="1" applyAlignment="1">
      <alignment horizontal="center" vertical="center" wrapText="1"/>
    </xf>
    <xf numFmtId="0" fontId="27" fillId="3" borderId="0" xfId="0" applyFont="1" applyFill="1" applyAlignment="1">
      <alignment horizontal="center" vertical="top" wrapText="1"/>
    </xf>
    <xf numFmtId="0" fontId="27" fillId="2" borderId="0" xfId="0" applyFont="1" applyFill="1" applyAlignment="1">
      <alignment horizontal="left" vertical="top" wrapText="1"/>
    </xf>
    <xf numFmtId="49" fontId="25" fillId="8" borderId="0" xfId="0" applyNumberFormat="1" applyFont="1" applyFill="1" applyAlignment="1">
      <alignment vertical="top"/>
    </xf>
    <xf numFmtId="49" fontId="25" fillId="8" borderId="0" xfId="0" applyNumberFormat="1" applyFont="1" applyFill="1" applyAlignment="1">
      <alignment horizontal="center"/>
    </xf>
    <xf numFmtId="0" fontId="30" fillId="2" borderId="0" xfId="0" applyFont="1" applyFill="1" applyAlignment="1">
      <alignment horizontal="center" vertical="center" textRotation="90" wrapText="1"/>
    </xf>
    <xf numFmtId="0" fontId="16" fillId="2" borderId="0" xfId="0" applyFont="1" applyFill="1" applyAlignment="1">
      <alignment horizontal="right" vertical="top" wrapText="1"/>
    </xf>
    <xf numFmtId="0" fontId="29" fillId="27" borderId="0" xfId="0" applyFont="1" applyFill="1" applyAlignment="1">
      <alignment horizontal="left" vertical="top" wrapText="1"/>
    </xf>
    <xf numFmtId="0" fontId="27" fillId="3" borderId="0" xfId="0" applyFont="1" applyFill="1" applyAlignment="1">
      <alignment horizontal="center" vertical="center" wrapText="1"/>
    </xf>
    <xf numFmtId="0" fontId="26" fillId="13" borderId="0" xfId="0" applyFont="1" applyFill="1" applyAlignment="1">
      <alignment horizontal="left" vertical="top" wrapText="1"/>
    </xf>
    <xf numFmtId="0" fontId="26" fillId="14" borderId="0" xfId="0" applyFont="1" applyFill="1" applyAlignment="1">
      <alignment horizontal="left" vertical="top" wrapText="1"/>
    </xf>
    <xf numFmtId="0" fontId="18" fillId="13" borderId="0" xfId="0" applyFont="1" applyFill="1" applyAlignment="1">
      <alignment horizontal="left" vertical="top" wrapText="1"/>
    </xf>
    <xf numFmtId="0" fontId="26" fillId="28" borderId="0" xfId="0" applyFont="1" applyFill="1" applyAlignment="1">
      <alignment horizontal="left" vertical="top" wrapText="1"/>
    </xf>
    <xf numFmtId="0" fontId="18" fillId="14" borderId="0" xfId="0" applyFont="1" applyFill="1" applyAlignment="1">
      <alignment horizontal="left" vertical="top" wrapText="1"/>
    </xf>
    <xf numFmtId="0" fontId="26" fillId="12" borderId="0" xfId="0" applyFont="1" applyFill="1" applyAlignment="1">
      <alignment horizontal="left" vertical="top" wrapText="1" readingOrder="1"/>
    </xf>
    <xf numFmtId="0" fontId="18" fillId="12" borderId="0" xfId="0" applyFont="1" applyFill="1" applyAlignment="1">
      <alignment horizontal="left" vertical="top" wrapText="1" readingOrder="1"/>
    </xf>
    <xf numFmtId="0" fontId="1" fillId="0" borderId="0" xfId="0" applyFont="1" applyAlignment="1">
      <alignment horizontal="left" vertical="top" wrapText="1"/>
    </xf>
    <xf numFmtId="0" fontId="26" fillId="29" borderId="0" xfId="0" applyFont="1" applyFill="1" applyAlignment="1">
      <alignment horizontal="left" vertical="top" wrapText="1"/>
    </xf>
    <xf numFmtId="0" fontId="2" fillId="3" borderId="0" xfId="0" applyFont="1" applyFill="1" applyAlignment="1">
      <alignment horizontal="center"/>
    </xf>
    <xf numFmtId="0" fontId="12" fillId="4" borderId="0" xfId="0" applyFont="1" applyFill="1" applyAlignment="1">
      <alignment horizontal="center"/>
    </xf>
    <xf numFmtId="0" fontId="0" fillId="2" borderId="0" xfId="0" applyFill="1" applyAlignment="1">
      <alignment horizontal="center"/>
    </xf>
    <xf numFmtId="0" fontId="16" fillId="11" borderId="0" xfId="0" applyFont="1" applyFill="1" applyAlignment="1">
      <alignment horizontal="center" vertical="center" wrapText="1"/>
    </xf>
    <xf numFmtId="0" fontId="16" fillId="3" borderId="0" xfId="0" applyFont="1" applyFill="1" applyAlignment="1">
      <alignment horizontal="center" vertical="top" wrapText="1"/>
    </xf>
    <xf numFmtId="0" fontId="18" fillId="14" borderId="0" xfId="0" applyFont="1" applyFill="1" applyAlignment="1">
      <alignment horizontal="left" vertical="top" wrapText="1"/>
    </xf>
    <xf numFmtId="0" fontId="26" fillId="13" borderId="0" xfId="0" applyFont="1" applyFill="1" applyAlignment="1">
      <alignment horizontal="left" vertical="top" wrapText="1"/>
    </xf>
    <xf numFmtId="0" fontId="27" fillId="11" borderId="0" xfId="0" applyFont="1" applyFill="1" applyAlignment="1">
      <alignment horizontal="center" vertical="center" wrapText="1"/>
    </xf>
    <xf numFmtId="0" fontId="10" fillId="0" borderId="0" xfId="0" applyFont="1" applyAlignment="1">
      <alignment horizontal="center" vertical="center"/>
    </xf>
    <xf numFmtId="0" fontId="0" fillId="0" borderId="0" xfId="0"/>
    <xf numFmtId="0" fontId="11" fillId="0" borderId="0" xfId="0" applyFont="1" applyAlignment="1">
      <alignment horizontal="center" vertical="center"/>
    </xf>
    <xf numFmtId="49" fontId="25" fillId="8" borderId="0" xfId="0" applyNumberFormat="1" applyFont="1" applyFill="1" applyAlignment="1">
      <alignment horizontal="center"/>
    </xf>
    <xf numFmtId="0" fontId="15" fillId="15" borderId="0" xfId="0" applyFont="1" applyFill="1" applyAlignment="1">
      <alignment horizontal="center" vertical="center" wrapText="1"/>
    </xf>
    <xf numFmtId="0" fontId="16" fillId="11" borderId="0" xfId="0" applyFont="1" applyFill="1" applyAlignment="1">
      <alignment horizontal="left" vertical="center" wrapText="1"/>
    </xf>
    <xf numFmtId="0" fontId="14" fillId="11" borderId="0" xfId="0" applyFont="1" applyFill="1" applyAlignment="1">
      <alignment horizontal="left" vertical="center" wrapText="1"/>
    </xf>
    <xf numFmtId="0" fontId="28" fillId="11" borderId="0" xfId="0" applyFont="1" applyFill="1" applyAlignment="1">
      <alignment horizontal="left" vertical="center" wrapText="1"/>
    </xf>
    <xf numFmtId="0" fontId="16" fillId="3" borderId="0" xfId="0" applyFont="1" applyFill="1" applyAlignment="1">
      <alignment horizontal="center" vertical="center" wrapText="1"/>
    </xf>
    <xf numFmtId="0" fontId="27" fillId="3" borderId="0" xfId="0" applyFont="1" applyFill="1" applyAlignment="1">
      <alignment horizontal="center" vertical="center" wrapText="1"/>
    </xf>
    <xf numFmtId="0" fontId="18" fillId="13" borderId="0" xfId="0" applyFont="1" applyFill="1" applyAlignment="1">
      <alignment horizontal="left" vertical="top" wrapText="1"/>
    </xf>
    <xf numFmtId="0" fontId="20" fillId="4" borderId="0" xfId="0" applyFont="1" applyFill="1"/>
    <xf numFmtId="0" fontId="6" fillId="8" borderId="0" xfId="0" applyFont="1" applyFill="1" applyAlignment="1">
      <alignment vertical="top"/>
    </xf>
    <xf numFmtId="0" fontId="26" fillId="29" borderId="0" xfId="0" applyFont="1" applyFill="1" applyAlignment="1">
      <alignment horizontal="left" vertical="top" wrapText="1"/>
    </xf>
    <xf numFmtId="0" fontId="27" fillId="3" borderId="0" xfId="0" applyFont="1" applyFill="1" applyAlignment="1">
      <alignment horizontal="center" vertical="top" wrapText="1"/>
    </xf>
    <xf numFmtId="0" fontId="18" fillId="0" borderId="0" xfId="0" applyFont="1" applyAlignment="1">
      <alignment wrapText="1"/>
    </xf>
    <xf numFmtId="0" fontId="18" fillId="0" borderId="0" xfId="0" applyFont="1" applyAlignment="1">
      <alignment horizontal="left" wrapText="1"/>
    </xf>
    <xf numFmtId="0" fontId="6" fillId="8" borderId="0" xfId="0" applyFont="1" applyFill="1" applyAlignment="1">
      <alignment wrapText="1"/>
    </xf>
    <xf numFmtId="0" fontId="18" fillId="26" borderId="0" xfId="0" applyFont="1" applyFill="1" applyAlignment="1">
      <alignment wrapText="1"/>
    </xf>
    <xf numFmtId="0" fontId="18" fillId="26" borderId="0" xfId="0" applyFont="1" applyFill="1" applyAlignment="1">
      <alignment horizontal="left" wrapText="1"/>
    </xf>
    <xf numFmtId="0" fontId="21" fillId="18" borderId="0" xfId="0" applyFont="1" applyFill="1" applyAlignment="1">
      <alignment horizontal="left" vertical="center" wrapText="1"/>
    </xf>
    <xf numFmtId="0" fontId="21" fillId="21" borderId="0" xfId="0" applyFont="1" applyFill="1" applyAlignment="1">
      <alignment horizontal="left" vertical="center" wrapText="1"/>
    </xf>
    <xf numFmtId="0" fontId="21" fillId="23" borderId="0" xfId="0" applyFont="1" applyFill="1" applyAlignment="1">
      <alignment horizontal="left" vertical="center" wrapText="1"/>
    </xf>
    <xf numFmtId="14" fontId="8" fillId="9" borderId="0" xfId="0" applyNumberFormat="1" applyFont="1" applyFill="1"/>
  </cellXfs>
  <cellStyles count="1">
    <cellStyle name="Normal" xfId="0" builtinId="0"/>
  </cellStyles>
  <dxfs count="4">
    <dxf>
      <font>
        <color rgb="FFFFFFFF"/>
      </font>
      <fill>
        <patternFill patternType="solid">
          <fgColor rgb="FF000000"/>
          <bgColor rgb="FF000000"/>
        </patternFill>
      </fill>
    </dxf>
    <dxf>
      <fill>
        <patternFill patternType="solid">
          <fgColor rgb="FF63D297"/>
          <bgColor rgb="FF63D297"/>
        </patternFill>
      </fill>
    </dxf>
    <dxf>
      <font>
        <color rgb="FFFFFFFF"/>
      </font>
      <fill>
        <patternFill patternType="solid">
          <fgColor rgb="FFFF0000"/>
          <bgColor rgb="FFFF0000"/>
        </patternFill>
      </fill>
    </dxf>
    <dxf>
      <fill>
        <patternFill patternType="solid">
          <fgColor rgb="FFB7E1CD"/>
          <bgColor rgb="FFB7E1CD"/>
        </patternFill>
      </fill>
    </dxf>
  </dxfs>
  <tableStyles count="0" defaultTableStyle="TableStyleMedium2" defaultPivotStyle="PivotStyleLight16"/>
  <colors>
    <mruColors>
      <color rgb="FFECC8AF"/>
      <color rgb="FFFBF2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90343-BD5F-459C-A298-83FC1AC4EB8B}">
  <dimension ref="A1:AB79"/>
  <sheetViews>
    <sheetView tabSelected="1" topLeftCell="C1" zoomScale="79" zoomScaleNormal="132" workbookViewId="0">
      <selection activeCell="J5" sqref="J5:J9"/>
    </sheetView>
  </sheetViews>
  <sheetFormatPr defaultColWidth="9.109375" defaultRowHeight="15" customHeight="1" x14ac:dyDescent="0.3"/>
  <cols>
    <col min="1" max="2" width="9.109375" style="1"/>
    <col min="3" max="3" width="17.44140625" style="1" customWidth="1"/>
    <col min="4" max="4" width="40.6640625" style="1" customWidth="1"/>
    <col min="5" max="9" width="30.6640625" style="1" customWidth="1"/>
    <col min="10" max="10" width="20.6640625" style="1" customWidth="1"/>
    <col min="11" max="11" width="4.33203125" style="1" customWidth="1"/>
    <col min="12" max="12" width="16.109375" style="1" customWidth="1"/>
    <col min="13" max="13" width="15.6640625" style="1" customWidth="1"/>
    <col min="14" max="15" width="9.109375" style="1"/>
    <col min="16" max="17" width="10.44140625" style="1" bestFit="1" customWidth="1"/>
    <col min="18" max="16384" width="9.109375" style="1"/>
  </cols>
  <sheetData>
    <row r="1" spans="1:28" ht="14.4" x14ac:dyDescent="0.3">
      <c r="A1" s="2"/>
      <c r="B1" s="2"/>
      <c r="C1" s="2"/>
      <c r="D1" s="2"/>
      <c r="E1" s="2"/>
      <c r="F1" s="2"/>
      <c r="G1" s="2"/>
      <c r="H1" s="2"/>
      <c r="I1" s="2"/>
      <c r="J1" s="2"/>
      <c r="K1" s="2"/>
      <c r="L1" s="2"/>
      <c r="M1" s="2"/>
      <c r="N1" s="2"/>
      <c r="O1" s="3"/>
    </row>
    <row r="2" spans="1:28" ht="14.4" x14ac:dyDescent="0.3">
      <c r="A2" s="2"/>
      <c r="B2" s="2"/>
      <c r="C2" s="2"/>
      <c r="D2" s="2"/>
      <c r="E2" s="2"/>
      <c r="F2" s="2"/>
      <c r="G2" s="2"/>
      <c r="H2" s="2"/>
      <c r="I2" s="2"/>
      <c r="J2" s="2"/>
      <c r="K2" s="2"/>
      <c r="L2" s="2"/>
      <c r="M2" s="2"/>
      <c r="N2" s="2"/>
      <c r="O2" s="3"/>
    </row>
    <row r="3" spans="1:28" ht="23.4" x14ac:dyDescent="0.45">
      <c r="A3" s="2"/>
      <c r="B3" s="4"/>
      <c r="C3" s="4"/>
      <c r="D3" s="5" t="s">
        <v>1</v>
      </c>
      <c r="E3" s="5"/>
      <c r="F3" s="4"/>
      <c r="G3" s="4"/>
      <c r="H3" s="4"/>
      <c r="I3" s="4"/>
      <c r="J3" s="4"/>
      <c r="K3" s="4"/>
      <c r="L3" s="4"/>
      <c r="M3" s="4"/>
      <c r="N3" s="2"/>
      <c r="O3" s="3"/>
    </row>
    <row r="4" spans="1:28" ht="18" x14ac:dyDescent="0.35">
      <c r="A4" s="6"/>
      <c r="B4" s="7"/>
      <c r="C4" s="7"/>
      <c r="D4" s="8"/>
      <c r="E4" s="9" t="s">
        <v>2</v>
      </c>
      <c r="F4" s="10" t="s">
        <v>3</v>
      </c>
      <c r="G4" s="10"/>
      <c r="H4" s="10"/>
      <c r="I4" s="11" t="s">
        <v>4</v>
      </c>
      <c r="J4" s="12" t="s">
        <v>5</v>
      </c>
      <c r="K4" s="12"/>
      <c r="L4" s="12"/>
      <c r="M4" s="4"/>
      <c r="N4" s="6"/>
      <c r="O4" s="13"/>
      <c r="P4" s="67"/>
      <c r="Q4" s="67"/>
      <c r="R4" s="67"/>
      <c r="S4" s="67"/>
      <c r="T4" s="67"/>
      <c r="U4" s="67"/>
      <c r="V4" s="67"/>
      <c r="W4" s="67"/>
      <c r="X4" s="67"/>
      <c r="Y4" s="67"/>
      <c r="Z4" s="67"/>
      <c r="AA4" s="67"/>
      <c r="AB4" s="67"/>
    </row>
    <row r="5" spans="1:28" ht="18.75" customHeight="1" x14ac:dyDescent="0.35">
      <c r="A5" s="2"/>
      <c r="B5" s="14"/>
      <c r="C5" s="14"/>
      <c r="D5" s="15" t="s">
        <v>6</v>
      </c>
      <c r="E5" s="16">
        <v>243910</v>
      </c>
      <c r="I5" s="16"/>
      <c r="J5" s="97">
        <f>J42/10</f>
        <v>9</v>
      </c>
      <c r="K5" s="99" t="str">
        <f>IF(J5&gt;=5.5,"PASS",IF(J5&gt;0,"FAIL","M/O"))</f>
        <v>PASS</v>
      </c>
      <c r="L5" s="99"/>
      <c r="M5" s="4"/>
      <c r="N5" s="2"/>
      <c r="O5" s="3"/>
      <c r="P5" s="68"/>
      <c r="Q5" s="67"/>
      <c r="R5" s="67"/>
      <c r="S5" s="67"/>
      <c r="T5" s="67"/>
      <c r="U5" s="67"/>
      <c r="V5" s="67"/>
      <c r="W5" s="67"/>
      <c r="X5" s="67"/>
      <c r="Y5" s="67"/>
      <c r="Z5" s="67"/>
      <c r="AA5" s="67"/>
      <c r="AB5" s="67"/>
    </row>
    <row r="6" spans="1:28" ht="18.75" customHeight="1" x14ac:dyDescent="0.35">
      <c r="A6" s="2"/>
      <c r="B6" s="14"/>
      <c r="C6" s="14"/>
      <c r="D6" s="15" t="s">
        <v>7</v>
      </c>
      <c r="E6" s="16" t="s">
        <v>131</v>
      </c>
      <c r="G6" s="17"/>
      <c r="H6" s="17"/>
      <c r="I6" s="16"/>
      <c r="J6" s="98"/>
      <c r="K6" s="99"/>
      <c r="L6" s="99"/>
      <c r="M6" s="4"/>
      <c r="N6" s="2"/>
      <c r="O6" s="3"/>
      <c r="P6" s="69"/>
      <c r="Q6" s="69"/>
      <c r="R6" s="67"/>
      <c r="S6" s="67"/>
      <c r="T6" s="67"/>
      <c r="U6" s="67"/>
      <c r="V6" s="67"/>
      <c r="W6" s="67"/>
      <c r="X6" s="67"/>
      <c r="Y6" s="67"/>
      <c r="Z6" s="67"/>
      <c r="AA6" s="67"/>
      <c r="AB6" s="67"/>
    </row>
    <row r="7" spans="1:28" ht="18.75" customHeight="1" x14ac:dyDescent="0.35">
      <c r="A7" s="2"/>
      <c r="B7" s="14"/>
      <c r="C7" s="14"/>
      <c r="D7" s="15" t="s">
        <v>8</v>
      </c>
      <c r="E7" s="16" t="s">
        <v>132</v>
      </c>
      <c r="F7" s="17"/>
      <c r="G7" s="17"/>
      <c r="H7" s="17"/>
      <c r="I7" s="16"/>
      <c r="J7" s="98"/>
      <c r="K7" s="99"/>
      <c r="L7" s="99"/>
      <c r="M7" s="4"/>
      <c r="N7" s="2"/>
      <c r="O7" s="3"/>
      <c r="P7" s="69"/>
      <c r="Q7" s="69"/>
      <c r="R7" s="67"/>
      <c r="S7" s="67"/>
      <c r="T7" s="67"/>
      <c r="U7" s="67"/>
      <c r="V7" s="67"/>
      <c r="W7" s="67"/>
      <c r="X7" s="67"/>
      <c r="Y7" s="67"/>
      <c r="Z7" s="67"/>
      <c r="AA7" s="67"/>
      <c r="AB7" s="67"/>
    </row>
    <row r="8" spans="1:28" ht="18.75" customHeight="1" x14ac:dyDescent="0.35">
      <c r="A8" s="2"/>
      <c r="B8" s="14"/>
      <c r="C8" s="14"/>
      <c r="D8" s="15" t="s">
        <v>9</v>
      </c>
      <c r="E8" s="16" t="s">
        <v>133</v>
      </c>
      <c r="F8" s="17"/>
      <c r="G8" s="17"/>
      <c r="H8" s="17"/>
      <c r="I8" s="16"/>
      <c r="J8" s="98"/>
      <c r="K8" s="99"/>
      <c r="L8" s="99"/>
      <c r="M8" s="4"/>
      <c r="N8" s="2"/>
      <c r="O8" s="3"/>
      <c r="P8" s="69"/>
      <c r="Q8" s="69"/>
      <c r="R8" s="67"/>
      <c r="S8" s="67"/>
      <c r="T8" s="67"/>
      <c r="U8" s="67"/>
      <c r="V8" s="67"/>
      <c r="W8" s="67"/>
      <c r="X8" s="67"/>
      <c r="Y8" s="67"/>
      <c r="Z8" s="67"/>
      <c r="AA8" s="67"/>
      <c r="AB8" s="67"/>
    </row>
    <row r="9" spans="1:28" ht="18.75" customHeight="1" x14ac:dyDescent="0.35">
      <c r="A9" s="2"/>
      <c r="B9" s="14"/>
      <c r="C9" s="14"/>
      <c r="D9" s="15" t="s">
        <v>10</v>
      </c>
      <c r="E9" s="120">
        <v>45828</v>
      </c>
      <c r="F9" s="17"/>
      <c r="G9" s="17"/>
      <c r="H9" s="17"/>
      <c r="I9" s="16"/>
      <c r="J9" s="98"/>
      <c r="K9" s="99"/>
      <c r="L9" s="99"/>
      <c r="M9" s="4"/>
      <c r="N9" s="2"/>
      <c r="O9" s="3"/>
      <c r="P9" s="69"/>
      <c r="Q9" s="69"/>
      <c r="R9" s="67"/>
      <c r="S9" s="67"/>
      <c r="T9" s="67"/>
      <c r="U9" s="67"/>
      <c r="V9" s="67"/>
      <c r="W9" s="67"/>
      <c r="X9" s="67"/>
      <c r="Y9" s="67"/>
      <c r="Z9" s="67"/>
      <c r="AA9" s="67"/>
      <c r="AB9" s="67"/>
    </row>
    <row r="10" spans="1:28" ht="18" x14ac:dyDescent="0.35">
      <c r="A10" s="2"/>
      <c r="B10" s="4"/>
      <c r="C10" s="4"/>
      <c r="D10" s="4"/>
      <c r="E10" s="4"/>
      <c r="F10" s="4"/>
      <c r="G10" s="4"/>
      <c r="H10" s="4"/>
      <c r="I10" s="4"/>
      <c r="J10" s="4"/>
      <c r="K10" s="4"/>
      <c r="L10" s="4"/>
      <c r="M10" s="4"/>
      <c r="N10" s="2"/>
      <c r="O10" s="3"/>
      <c r="P10" s="69"/>
      <c r="Q10" s="69"/>
      <c r="R10" s="67"/>
      <c r="S10" s="67"/>
      <c r="T10" s="67"/>
      <c r="U10" s="67"/>
      <c r="V10" s="67"/>
      <c r="W10" s="67"/>
      <c r="X10" s="67"/>
      <c r="Y10" s="67"/>
      <c r="Z10" s="67"/>
      <c r="AA10" s="67"/>
      <c r="AB10" s="67"/>
    </row>
    <row r="11" spans="1:28" ht="18" x14ac:dyDescent="0.35">
      <c r="A11" s="2"/>
      <c r="B11" s="2"/>
      <c r="C11" s="2"/>
      <c r="D11" s="2"/>
      <c r="E11" s="2"/>
      <c r="F11" s="2"/>
      <c r="G11" s="2"/>
      <c r="H11" s="2"/>
      <c r="I11" s="2"/>
      <c r="J11" s="2"/>
      <c r="K11" s="2"/>
      <c r="L11" s="2"/>
      <c r="M11" s="2"/>
      <c r="N11" s="2"/>
      <c r="O11" s="3"/>
      <c r="P11" s="69"/>
      <c r="Q11" s="69"/>
      <c r="R11" s="67"/>
      <c r="S11" s="67"/>
      <c r="T11" s="67"/>
      <c r="U11" s="67"/>
      <c r="V11" s="67"/>
      <c r="W11" s="67"/>
      <c r="X11" s="67"/>
      <c r="Y11" s="67"/>
      <c r="Z11" s="67"/>
      <c r="AA11" s="67"/>
      <c r="AB11" s="67"/>
    </row>
    <row r="12" spans="1:28" ht="23.4" x14ac:dyDescent="0.45">
      <c r="A12" s="2"/>
      <c r="B12" s="4"/>
      <c r="C12" s="4"/>
      <c r="D12" s="5" t="s">
        <v>11</v>
      </c>
      <c r="E12" s="4"/>
      <c r="F12" s="4"/>
      <c r="G12" s="4"/>
      <c r="H12" s="4"/>
      <c r="I12" s="4"/>
      <c r="J12" s="4"/>
      <c r="K12" s="4"/>
      <c r="L12" s="4"/>
      <c r="M12" s="4"/>
      <c r="N12" s="2"/>
      <c r="O12" s="3"/>
      <c r="P12" s="70"/>
      <c r="Q12" s="69"/>
      <c r="R12" s="67"/>
      <c r="S12" s="67"/>
      <c r="T12" s="67"/>
      <c r="U12" s="67"/>
      <c r="V12" s="67"/>
      <c r="W12" s="67"/>
      <c r="X12" s="67"/>
      <c r="Y12" s="67"/>
      <c r="Z12" s="67"/>
      <c r="AA12" s="67"/>
      <c r="AB12" s="67"/>
    </row>
    <row r="13" spans="1:28" ht="15" customHeight="1" x14ac:dyDescent="0.35">
      <c r="A13" s="2"/>
      <c r="B13" s="4"/>
      <c r="C13" s="74"/>
      <c r="D13" s="74"/>
      <c r="E13" s="75" t="s">
        <v>12</v>
      </c>
      <c r="F13" s="100" t="s">
        <v>13</v>
      </c>
      <c r="G13" s="100"/>
      <c r="H13" s="100"/>
      <c r="I13" s="100"/>
      <c r="J13" s="75" t="s">
        <v>14</v>
      </c>
      <c r="K13" s="18"/>
      <c r="L13" s="19" t="s">
        <v>15</v>
      </c>
      <c r="M13" s="20"/>
      <c r="N13" s="2"/>
      <c r="P13" s="69"/>
      <c r="Q13" s="69"/>
      <c r="R13" s="67"/>
      <c r="S13" s="67"/>
      <c r="T13" s="67"/>
      <c r="U13" s="67"/>
      <c r="V13" s="67"/>
      <c r="W13" s="67"/>
      <c r="X13" s="67"/>
      <c r="Y13" s="67"/>
      <c r="Z13" s="67"/>
      <c r="AA13" s="67"/>
      <c r="AB13" s="67"/>
    </row>
    <row r="14" spans="1:28" ht="42" customHeight="1" x14ac:dyDescent="0.3">
      <c r="A14" s="2"/>
      <c r="B14" s="21"/>
      <c r="C14" s="64" t="s">
        <v>16</v>
      </c>
      <c r="D14" s="102" t="s">
        <v>17</v>
      </c>
      <c r="E14" s="102"/>
      <c r="F14" s="102"/>
      <c r="G14" s="102"/>
      <c r="H14" s="102"/>
      <c r="I14" s="102"/>
      <c r="J14" s="102"/>
      <c r="K14" s="25"/>
      <c r="L14" s="23"/>
      <c r="M14" s="24"/>
      <c r="N14" s="2"/>
    </row>
    <row r="15" spans="1:28" s="91" customFormat="1" ht="18.75" customHeight="1" x14ac:dyDescent="0.3">
      <c r="A15" s="89"/>
      <c r="B15" s="90"/>
      <c r="C15" s="64"/>
      <c r="D15" s="26"/>
      <c r="E15" s="26" t="s">
        <v>18</v>
      </c>
      <c r="F15" s="26" t="s">
        <v>19</v>
      </c>
      <c r="G15" s="92" t="s">
        <v>20</v>
      </c>
      <c r="H15" s="92"/>
      <c r="I15" s="26" t="s">
        <v>21</v>
      </c>
      <c r="J15" s="26"/>
      <c r="K15" s="26"/>
      <c r="L15" s="26"/>
      <c r="M15" s="24"/>
      <c r="N15" s="89"/>
    </row>
    <row r="16" spans="1:28" ht="267.75" customHeight="1" x14ac:dyDescent="0.3">
      <c r="A16" s="2"/>
      <c r="B16" s="21"/>
      <c r="C16" s="76" t="s">
        <v>22</v>
      </c>
      <c r="D16" s="66" t="s">
        <v>23</v>
      </c>
      <c r="E16" s="85" t="s">
        <v>24</v>
      </c>
      <c r="F16" s="82" t="s">
        <v>25</v>
      </c>
      <c r="G16" s="94" t="s">
        <v>26</v>
      </c>
      <c r="H16" s="94"/>
      <c r="I16" s="82" t="s">
        <v>27</v>
      </c>
      <c r="J16" s="101">
        <f>IF(E17="yes", SUM(F17,G17,I17), 0)</f>
        <v>20</v>
      </c>
      <c r="K16" s="101" t="s">
        <v>28</v>
      </c>
      <c r="L16" s="101">
        <v>20</v>
      </c>
      <c r="M16" s="24"/>
      <c r="N16" s="2"/>
    </row>
    <row r="17" spans="1:14" s="91" customFormat="1" ht="18.75" customHeight="1" x14ac:dyDescent="0.3">
      <c r="A17" s="89"/>
      <c r="B17" s="90"/>
      <c r="C17" s="76"/>
      <c r="D17" s="77" t="s">
        <v>29</v>
      </c>
      <c r="E17" s="27" t="s">
        <v>30</v>
      </c>
      <c r="F17" s="27">
        <v>6</v>
      </c>
      <c r="G17" s="93">
        <v>10</v>
      </c>
      <c r="H17" s="93"/>
      <c r="I17" s="27">
        <v>4</v>
      </c>
      <c r="J17" s="101"/>
      <c r="K17" s="101"/>
      <c r="L17" s="101"/>
      <c r="M17" s="24"/>
      <c r="N17" s="89"/>
    </row>
    <row r="18" spans="1:14" ht="42" customHeight="1" x14ac:dyDescent="0.3">
      <c r="A18" s="2"/>
      <c r="B18" s="21"/>
      <c r="C18" s="64" t="s">
        <v>31</v>
      </c>
      <c r="D18" s="102" t="s">
        <v>32</v>
      </c>
      <c r="E18" s="102"/>
      <c r="F18" s="102"/>
      <c r="G18" s="102"/>
      <c r="H18" s="102"/>
      <c r="I18" s="102"/>
      <c r="J18" s="102"/>
      <c r="K18" s="25"/>
      <c r="L18" s="23"/>
      <c r="M18" s="24"/>
      <c r="N18" s="2"/>
    </row>
    <row r="19" spans="1:14" s="91" customFormat="1" ht="18.75" customHeight="1" x14ac:dyDescent="0.3">
      <c r="A19" s="89"/>
      <c r="B19" s="90"/>
      <c r="C19" s="64"/>
      <c r="D19" s="26"/>
      <c r="E19" s="26" t="s">
        <v>18</v>
      </c>
      <c r="F19" s="96" t="s">
        <v>33</v>
      </c>
      <c r="G19" s="96"/>
      <c r="H19" s="96"/>
      <c r="I19" s="96"/>
      <c r="J19" s="26"/>
      <c r="K19" s="26"/>
      <c r="L19" s="26"/>
      <c r="M19" s="24"/>
      <c r="N19" s="89"/>
    </row>
    <row r="20" spans="1:14" ht="147.75" customHeight="1" x14ac:dyDescent="0.3">
      <c r="A20" s="2"/>
      <c r="B20" s="21"/>
      <c r="C20" s="76" t="s">
        <v>22</v>
      </c>
      <c r="D20" s="66" t="s">
        <v>34</v>
      </c>
      <c r="E20" s="85" t="s">
        <v>35</v>
      </c>
      <c r="F20" s="95" t="s">
        <v>36</v>
      </c>
      <c r="G20" s="95"/>
      <c r="H20" s="95"/>
      <c r="I20" s="95"/>
      <c r="J20" s="101">
        <f>IF(E21="yes", SUM(F21), 0)</f>
        <v>10</v>
      </c>
      <c r="K20" s="101" t="s">
        <v>28</v>
      </c>
      <c r="L20" s="101">
        <v>10</v>
      </c>
      <c r="M20" s="24"/>
      <c r="N20" s="2"/>
    </row>
    <row r="21" spans="1:14" s="91" customFormat="1" ht="18.75" customHeight="1" x14ac:dyDescent="0.3">
      <c r="A21" s="89"/>
      <c r="B21" s="90"/>
      <c r="C21" s="76"/>
      <c r="D21" s="77" t="s">
        <v>29</v>
      </c>
      <c r="E21" s="27" t="s">
        <v>30</v>
      </c>
      <c r="F21" s="93">
        <v>10</v>
      </c>
      <c r="G21" s="93"/>
      <c r="H21" s="93"/>
      <c r="I21" s="93"/>
      <c r="J21" s="101"/>
      <c r="K21" s="101"/>
      <c r="L21" s="101"/>
      <c r="M21" s="24"/>
      <c r="N21" s="89"/>
    </row>
    <row r="22" spans="1:14" ht="42" customHeight="1" x14ac:dyDescent="0.3">
      <c r="A22" s="2"/>
      <c r="B22" s="21"/>
      <c r="C22" s="64" t="s">
        <v>37</v>
      </c>
      <c r="D22" s="102" t="s">
        <v>38</v>
      </c>
      <c r="E22" s="102"/>
      <c r="F22" s="102"/>
      <c r="G22" s="102"/>
      <c r="H22" s="102"/>
      <c r="I22" s="102"/>
      <c r="J22" s="102"/>
      <c r="K22" s="25"/>
      <c r="L22" s="23"/>
      <c r="M22" s="24"/>
      <c r="N22" s="2"/>
    </row>
    <row r="23" spans="1:14" s="91" customFormat="1" ht="18.75" customHeight="1" x14ac:dyDescent="0.3">
      <c r="A23" s="89"/>
      <c r="B23" s="90"/>
      <c r="C23" s="64"/>
      <c r="D23" s="26"/>
      <c r="E23" s="26" t="s">
        <v>18</v>
      </c>
      <c r="F23" s="92" t="s">
        <v>39</v>
      </c>
      <c r="G23" s="92"/>
      <c r="H23" s="92" t="s">
        <v>40</v>
      </c>
      <c r="I23" s="92"/>
      <c r="J23" s="26"/>
      <c r="K23" s="26"/>
      <c r="L23" s="26"/>
      <c r="M23" s="24"/>
      <c r="N23" s="89"/>
    </row>
    <row r="24" spans="1:14" ht="130.5" customHeight="1" x14ac:dyDescent="0.3">
      <c r="A24" s="2"/>
      <c r="B24" s="21"/>
      <c r="C24" s="76" t="s">
        <v>22</v>
      </c>
      <c r="D24" s="73" t="s">
        <v>41</v>
      </c>
      <c r="E24" s="86" t="s">
        <v>127</v>
      </c>
      <c r="F24" s="95" t="s">
        <v>42</v>
      </c>
      <c r="G24" s="95"/>
      <c r="H24" s="94" t="s">
        <v>43</v>
      </c>
      <c r="I24" s="94"/>
      <c r="J24" s="101">
        <f>IF(E25="yes", SUM(F25,H25), 0)</f>
        <v>8</v>
      </c>
      <c r="K24" s="101" t="s">
        <v>28</v>
      </c>
      <c r="L24" s="101">
        <v>10</v>
      </c>
      <c r="M24" s="24"/>
      <c r="N24" s="2"/>
    </row>
    <row r="25" spans="1:14" s="91" customFormat="1" ht="18.75" customHeight="1" x14ac:dyDescent="0.3">
      <c r="A25" s="89"/>
      <c r="B25" s="90"/>
      <c r="C25" s="76"/>
      <c r="D25" s="77" t="s">
        <v>29</v>
      </c>
      <c r="E25" s="27" t="s">
        <v>30</v>
      </c>
      <c r="F25" s="93">
        <v>6</v>
      </c>
      <c r="G25" s="93"/>
      <c r="H25" s="93">
        <v>2</v>
      </c>
      <c r="I25" s="93"/>
      <c r="J25" s="101"/>
      <c r="K25" s="101"/>
      <c r="L25" s="101"/>
      <c r="M25" s="24"/>
      <c r="N25" s="89"/>
    </row>
    <row r="26" spans="1:14" ht="42" customHeight="1" x14ac:dyDescent="0.3">
      <c r="A26" s="2"/>
      <c r="B26" s="21"/>
      <c r="C26" s="64" t="s">
        <v>44</v>
      </c>
      <c r="D26" s="103" t="s">
        <v>45</v>
      </c>
      <c r="E26" s="103"/>
      <c r="F26" s="103"/>
      <c r="G26" s="103"/>
      <c r="H26" s="103"/>
      <c r="I26" s="103"/>
      <c r="J26" s="22"/>
      <c r="K26" s="28"/>
      <c r="L26" s="23"/>
      <c r="M26" s="24"/>
      <c r="N26" s="2"/>
    </row>
    <row r="27" spans="1:14" s="91" customFormat="1" ht="18.75" customHeight="1" x14ac:dyDescent="0.3">
      <c r="A27" s="89"/>
      <c r="B27" s="90"/>
      <c r="C27" s="64"/>
      <c r="D27" s="26"/>
      <c r="E27" s="26" t="s">
        <v>18</v>
      </c>
      <c r="F27" s="26" t="s">
        <v>46</v>
      </c>
      <c r="G27" s="26" t="s">
        <v>40</v>
      </c>
      <c r="H27" s="92" t="s">
        <v>47</v>
      </c>
      <c r="I27" s="92"/>
      <c r="J27" s="26"/>
      <c r="K27" s="26"/>
      <c r="L27" s="26"/>
      <c r="M27" s="24"/>
      <c r="N27" s="89"/>
    </row>
    <row r="28" spans="1:14" ht="195.75" customHeight="1" x14ac:dyDescent="0.3">
      <c r="A28" s="2"/>
      <c r="B28" s="21"/>
      <c r="C28" s="76" t="s">
        <v>22</v>
      </c>
      <c r="D28" s="66" t="s">
        <v>48</v>
      </c>
      <c r="E28" s="86" t="s">
        <v>128</v>
      </c>
      <c r="F28" s="82" t="s">
        <v>49</v>
      </c>
      <c r="G28" s="84" t="s">
        <v>50</v>
      </c>
      <c r="H28" s="107" t="s">
        <v>129</v>
      </c>
      <c r="I28" s="107"/>
      <c r="J28" s="101">
        <f>IF(E29="yes", SUM(F29,G29,H29), 0)</f>
        <v>10</v>
      </c>
      <c r="K28" s="101" t="s">
        <v>28</v>
      </c>
      <c r="L28" s="101">
        <v>10</v>
      </c>
      <c r="M28" s="24"/>
      <c r="N28" s="2"/>
    </row>
    <row r="29" spans="1:14" s="91" customFormat="1" ht="18.75" customHeight="1" x14ac:dyDescent="0.3">
      <c r="A29" s="89"/>
      <c r="B29" s="90"/>
      <c r="C29" s="76"/>
      <c r="D29" s="77" t="s">
        <v>29</v>
      </c>
      <c r="E29" s="27" t="s">
        <v>30</v>
      </c>
      <c r="F29" s="65">
        <v>2</v>
      </c>
      <c r="G29" s="65">
        <v>3</v>
      </c>
      <c r="H29" s="105">
        <v>5</v>
      </c>
      <c r="I29" s="105"/>
      <c r="J29" s="101"/>
      <c r="K29" s="101"/>
      <c r="L29" s="101"/>
      <c r="M29" s="24"/>
      <c r="N29" s="89"/>
    </row>
    <row r="30" spans="1:14" ht="42" customHeight="1" x14ac:dyDescent="0.3">
      <c r="A30" s="2"/>
      <c r="B30" s="21"/>
      <c r="C30" s="64" t="s">
        <v>51</v>
      </c>
      <c r="D30" s="104" t="s">
        <v>52</v>
      </c>
      <c r="E30" s="104"/>
      <c r="F30" s="104"/>
      <c r="G30" s="104"/>
      <c r="H30" s="104"/>
      <c r="I30" s="104"/>
      <c r="J30" s="104"/>
      <c r="K30" s="22"/>
      <c r="L30" s="23"/>
      <c r="M30" s="24"/>
      <c r="N30" s="2"/>
    </row>
    <row r="31" spans="1:14" s="91" customFormat="1" ht="18" x14ac:dyDescent="0.3">
      <c r="A31" s="89"/>
      <c r="B31" s="90"/>
      <c r="C31" s="64"/>
      <c r="D31" s="26"/>
      <c r="E31" s="26" t="s">
        <v>18</v>
      </c>
      <c r="F31" s="71" t="s">
        <v>53</v>
      </c>
      <c r="G31" s="71" t="s">
        <v>54</v>
      </c>
      <c r="H31" s="96" t="s">
        <v>55</v>
      </c>
      <c r="I31" s="96"/>
      <c r="J31" s="26"/>
      <c r="K31" s="26"/>
      <c r="L31" s="26"/>
      <c r="M31" s="24"/>
      <c r="N31" s="89"/>
    </row>
    <row r="32" spans="1:14" ht="197.25" customHeight="1" x14ac:dyDescent="0.3">
      <c r="A32" s="2"/>
      <c r="B32" s="21"/>
      <c r="C32" s="76" t="s">
        <v>22</v>
      </c>
      <c r="D32" s="78" t="s">
        <v>56</v>
      </c>
      <c r="E32" s="86" t="s">
        <v>128</v>
      </c>
      <c r="F32" s="80" t="s">
        <v>57</v>
      </c>
      <c r="G32" s="81" t="s">
        <v>58</v>
      </c>
      <c r="H32" s="95" t="s">
        <v>59</v>
      </c>
      <c r="I32" s="95"/>
      <c r="J32" s="101">
        <f>IF(E33="yes", SUM(F33,G33,H33), 0)</f>
        <v>14</v>
      </c>
      <c r="K32" s="101" t="s">
        <v>28</v>
      </c>
      <c r="L32" s="101">
        <v>15</v>
      </c>
      <c r="M32" s="24"/>
      <c r="N32" s="2"/>
    </row>
    <row r="33" spans="1:16" s="91" customFormat="1" ht="18" x14ac:dyDescent="0.3">
      <c r="A33" s="89"/>
      <c r="B33" s="90"/>
      <c r="C33" s="76"/>
      <c r="D33" s="77" t="s">
        <v>29</v>
      </c>
      <c r="E33" s="27" t="s">
        <v>30</v>
      </c>
      <c r="F33" s="79">
        <v>4</v>
      </c>
      <c r="G33" s="79">
        <v>4</v>
      </c>
      <c r="H33" s="106">
        <v>6</v>
      </c>
      <c r="I33" s="106"/>
      <c r="J33" s="101"/>
      <c r="K33" s="101"/>
      <c r="L33" s="101"/>
      <c r="M33" s="24"/>
      <c r="N33" s="89"/>
    </row>
    <row r="34" spans="1:16" ht="42" customHeight="1" x14ac:dyDescent="0.3">
      <c r="A34" s="2"/>
      <c r="B34" s="21"/>
      <c r="C34" s="64" t="s">
        <v>60</v>
      </c>
      <c r="D34" s="103" t="s">
        <v>61</v>
      </c>
      <c r="E34" s="103"/>
      <c r="F34" s="103"/>
      <c r="G34" s="103"/>
      <c r="H34" s="103"/>
      <c r="I34" s="103"/>
      <c r="J34" s="103"/>
      <c r="K34" s="22"/>
      <c r="L34" s="23"/>
      <c r="M34" s="24"/>
      <c r="N34" s="2"/>
    </row>
    <row r="35" spans="1:16" s="91" customFormat="1" ht="18.75" customHeight="1" x14ac:dyDescent="0.3">
      <c r="A35" s="89"/>
      <c r="B35" s="90"/>
      <c r="C35" s="64"/>
      <c r="D35" s="26"/>
      <c r="E35" s="26" t="s">
        <v>18</v>
      </c>
      <c r="F35" s="71" t="s">
        <v>19</v>
      </c>
      <c r="G35" s="71" t="s">
        <v>62</v>
      </c>
      <c r="H35" s="96" t="s">
        <v>63</v>
      </c>
      <c r="I35" s="96"/>
      <c r="J35" s="26"/>
      <c r="K35" s="26"/>
      <c r="L35" s="26"/>
      <c r="M35" s="24"/>
      <c r="N35" s="89"/>
    </row>
    <row r="36" spans="1:16" ht="144.75" customHeight="1" x14ac:dyDescent="0.3">
      <c r="A36" s="2"/>
      <c r="B36" s="21"/>
      <c r="C36" s="76" t="s">
        <v>22</v>
      </c>
      <c r="D36" s="87" t="s">
        <v>64</v>
      </c>
      <c r="E36" s="86" t="s">
        <v>127</v>
      </c>
      <c r="F36" s="88" t="s">
        <v>65</v>
      </c>
      <c r="G36" s="83" t="s">
        <v>66</v>
      </c>
      <c r="H36" s="110" t="s">
        <v>67</v>
      </c>
      <c r="I36" s="110"/>
      <c r="J36" s="101">
        <f>IF(E37="yes", SUM(F37,G37,H37), 0)</f>
        <v>20</v>
      </c>
      <c r="K36" s="101" t="s">
        <v>28</v>
      </c>
      <c r="L36" s="101">
        <v>20</v>
      </c>
      <c r="M36" s="24"/>
      <c r="N36" s="2"/>
    </row>
    <row r="37" spans="1:16" s="91" customFormat="1" ht="18.75" customHeight="1" x14ac:dyDescent="0.3">
      <c r="A37" s="89"/>
      <c r="B37" s="90"/>
      <c r="C37" s="76"/>
      <c r="D37" s="77" t="s">
        <v>29</v>
      </c>
      <c r="E37" s="27" t="s">
        <v>30</v>
      </c>
      <c r="F37" s="72">
        <v>6</v>
      </c>
      <c r="G37" s="72">
        <v>6</v>
      </c>
      <c r="H37" s="111">
        <v>8</v>
      </c>
      <c r="I37" s="111"/>
      <c r="J37" s="101"/>
      <c r="K37" s="101"/>
      <c r="L37" s="101"/>
      <c r="M37" s="24"/>
      <c r="N37" s="89"/>
    </row>
    <row r="38" spans="1:16" ht="42" customHeight="1" x14ac:dyDescent="0.3">
      <c r="A38" s="2"/>
      <c r="B38" s="21"/>
      <c r="C38" s="64" t="s">
        <v>68</v>
      </c>
      <c r="D38" s="103" t="s">
        <v>69</v>
      </c>
      <c r="E38" s="103"/>
      <c r="F38" s="103"/>
      <c r="G38" s="103"/>
      <c r="H38" s="103"/>
      <c r="I38" s="103"/>
      <c r="J38" s="103"/>
      <c r="K38" s="22"/>
      <c r="L38" s="23"/>
      <c r="M38" s="24"/>
      <c r="N38" s="2"/>
    </row>
    <row r="39" spans="1:16" s="91" customFormat="1" ht="18.75" customHeight="1" x14ac:dyDescent="0.3">
      <c r="A39" s="89"/>
      <c r="B39" s="90"/>
      <c r="C39" s="64"/>
      <c r="D39" s="26"/>
      <c r="E39" s="26" t="s">
        <v>18</v>
      </c>
      <c r="F39" s="26" t="s">
        <v>46</v>
      </c>
      <c r="G39" s="26" t="s">
        <v>54</v>
      </c>
      <c r="H39" s="26" t="s">
        <v>21</v>
      </c>
      <c r="I39" s="26" t="s">
        <v>70</v>
      </c>
      <c r="J39" s="26"/>
      <c r="K39" s="26"/>
      <c r="L39" s="26"/>
      <c r="M39" s="24"/>
      <c r="N39" s="89"/>
    </row>
    <row r="40" spans="1:16" ht="147" customHeight="1" x14ac:dyDescent="0.3">
      <c r="A40" s="2"/>
      <c r="B40" s="21"/>
      <c r="C40" s="76" t="s">
        <v>22</v>
      </c>
      <c r="D40" s="73" t="s">
        <v>71</v>
      </c>
      <c r="E40" s="86" t="s">
        <v>130</v>
      </c>
      <c r="F40" s="80" t="s">
        <v>72</v>
      </c>
      <c r="G40" s="84" t="s">
        <v>73</v>
      </c>
      <c r="H40" s="80" t="s">
        <v>74</v>
      </c>
      <c r="I40" s="81" t="s">
        <v>75</v>
      </c>
      <c r="J40" s="101">
        <f>IF(E41="yes", SUM(F41,G41,H41,I41), 0)</f>
        <v>8</v>
      </c>
      <c r="K40" s="101" t="s">
        <v>28</v>
      </c>
      <c r="L40" s="101">
        <v>15</v>
      </c>
      <c r="M40" s="24"/>
      <c r="N40" s="2"/>
    </row>
    <row r="41" spans="1:16" s="91" customFormat="1" ht="18.75" customHeight="1" x14ac:dyDescent="0.3">
      <c r="A41" s="89"/>
      <c r="B41" s="90"/>
      <c r="C41" s="76"/>
      <c r="D41" s="77" t="s">
        <v>29</v>
      </c>
      <c r="E41" s="27" t="s">
        <v>30</v>
      </c>
      <c r="F41" s="27">
        <v>1</v>
      </c>
      <c r="G41" s="27">
        <v>3</v>
      </c>
      <c r="H41" s="72">
        <v>1</v>
      </c>
      <c r="I41" s="27">
        <v>3</v>
      </c>
      <c r="J41" s="101"/>
      <c r="K41" s="101"/>
      <c r="L41" s="101"/>
      <c r="M41" s="24"/>
      <c r="N41" s="89"/>
    </row>
    <row r="42" spans="1:16" ht="18.75" customHeight="1" x14ac:dyDescent="0.3">
      <c r="A42" s="2"/>
      <c r="B42" s="21"/>
      <c r="C42" s="21"/>
      <c r="D42" s="29"/>
      <c r="E42" s="29"/>
      <c r="F42" s="29"/>
      <c r="G42" s="29"/>
      <c r="H42" s="30"/>
      <c r="I42" s="30"/>
      <c r="J42" s="31">
        <f>SUM(J14:J41)</f>
        <v>90</v>
      </c>
      <c r="K42" s="31" t="s">
        <v>28</v>
      </c>
      <c r="L42" s="31">
        <f>SUM(L14:L41)</f>
        <v>100</v>
      </c>
      <c r="M42" s="24"/>
      <c r="N42" s="2"/>
      <c r="P42" s="3"/>
    </row>
    <row r="43" spans="1:16" ht="18" x14ac:dyDescent="0.3">
      <c r="A43" s="2"/>
      <c r="B43" s="21"/>
      <c r="C43" s="21"/>
      <c r="D43" s="4"/>
      <c r="E43" s="4"/>
      <c r="F43" s="4"/>
      <c r="G43" s="4"/>
      <c r="H43" s="4"/>
      <c r="I43" s="4"/>
      <c r="J43" s="4"/>
      <c r="K43" s="4"/>
      <c r="L43" s="4"/>
      <c r="M43" s="4"/>
      <c r="N43" s="2"/>
      <c r="O43" s="32"/>
    </row>
    <row r="44" spans="1:16" ht="14.4" x14ac:dyDescent="0.3">
      <c r="A44" s="2"/>
      <c r="B44" s="2"/>
      <c r="C44" s="2"/>
      <c r="D44" s="2"/>
      <c r="E44" s="2"/>
      <c r="F44" s="2"/>
      <c r="G44" s="2"/>
      <c r="H44" s="2"/>
      <c r="I44" s="2"/>
      <c r="J44" s="2"/>
      <c r="K44" s="2"/>
      <c r="L44" s="2"/>
      <c r="M44" s="2"/>
      <c r="N44" s="2"/>
    </row>
    <row r="45" spans="1:16" ht="23.25" customHeight="1" x14ac:dyDescent="0.45">
      <c r="A45" s="2"/>
      <c r="B45" s="21"/>
      <c r="C45" s="108" t="s">
        <v>76</v>
      </c>
      <c r="D45" s="108"/>
      <c r="E45" s="108"/>
      <c r="F45" s="33"/>
      <c r="G45" s="33"/>
      <c r="H45" s="33"/>
      <c r="I45" s="33"/>
      <c r="J45" s="33"/>
      <c r="K45" s="33"/>
      <c r="L45" s="34"/>
      <c r="M45" s="24"/>
      <c r="N45" s="2"/>
    </row>
    <row r="46" spans="1:16" ht="18.75" customHeight="1" x14ac:dyDescent="0.3">
      <c r="A46" s="2"/>
      <c r="B46" s="4"/>
      <c r="C46" s="11" t="s">
        <v>77</v>
      </c>
      <c r="D46" s="11" t="s">
        <v>78</v>
      </c>
      <c r="E46" s="109" t="s">
        <v>3</v>
      </c>
      <c r="F46" s="109"/>
      <c r="G46" s="109"/>
      <c r="H46" s="109"/>
      <c r="I46" s="109"/>
      <c r="J46" s="11"/>
      <c r="K46" s="11"/>
      <c r="L46" s="35" t="s">
        <v>79</v>
      </c>
      <c r="M46" s="24"/>
      <c r="N46" s="2"/>
    </row>
    <row r="47" spans="1:16" ht="34.5" customHeight="1" x14ac:dyDescent="0.3">
      <c r="A47" s="2"/>
      <c r="B47" s="21"/>
      <c r="C47" s="36" t="s">
        <v>80</v>
      </c>
      <c r="D47" s="37" t="s">
        <v>81</v>
      </c>
      <c r="E47" s="117" t="s">
        <v>82</v>
      </c>
      <c r="F47" s="117"/>
      <c r="G47" s="117"/>
      <c r="H47" s="117"/>
      <c r="I47" s="117"/>
      <c r="J47" s="117"/>
      <c r="K47" s="37"/>
      <c r="L47" s="38">
        <v>3</v>
      </c>
      <c r="M47" s="24"/>
      <c r="N47" s="2"/>
    </row>
    <row r="48" spans="1:16" ht="34.5" customHeight="1" x14ac:dyDescent="0.3">
      <c r="A48" s="2"/>
      <c r="B48" s="4"/>
      <c r="C48" s="39" t="s">
        <v>80</v>
      </c>
      <c r="D48" s="37" t="s">
        <v>83</v>
      </c>
      <c r="E48" s="117" t="s">
        <v>84</v>
      </c>
      <c r="F48" s="117"/>
      <c r="G48" s="117"/>
      <c r="H48" s="117"/>
      <c r="I48" s="117"/>
      <c r="J48" s="117"/>
      <c r="K48" s="37"/>
      <c r="L48" s="40">
        <v>3</v>
      </c>
      <c r="M48" s="24"/>
      <c r="N48" s="2"/>
    </row>
    <row r="49" spans="1:14" ht="34.5" customHeight="1" x14ac:dyDescent="0.3">
      <c r="A49" s="2"/>
      <c r="B49" s="21"/>
      <c r="C49" s="36" t="s">
        <v>80</v>
      </c>
      <c r="D49" s="37" t="s">
        <v>85</v>
      </c>
      <c r="E49" s="117" t="s">
        <v>86</v>
      </c>
      <c r="F49" s="117"/>
      <c r="G49" s="117"/>
      <c r="H49" s="117"/>
      <c r="I49" s="117"/>
      <c r="J49" s="117"/>
      <c r="K49" s="37"/>
      <c r="L49" s="38">
        <v>3</v>
      </c>
      <c r="M49" s="24"/>
      <c r="N49" s="2"/>
    </row>
    <row r="50" spans="1:14" ht="34.5" customHeight="1" x14ac:dyDescent="0.3">
      <c r="A50" s="2"/>
      <c r="B50" s="4"/>
      <c r="C50" s="41" t="s">
        <v>87</v>
      </c>
      <c r="D50" s="42" t="s">
        <v>88</v>
      </c>
      <c r="E50" s="118" t="s">
        <v>89</v>
      </c>
      <c r="F50" s="118"/>
      <c r="G50" s="118"/>
      <c r="H50" s="118"/>
      <c r="I50" s="118"/>
      <c r="J50" s="118"/>
      <c r="K50" s="42"/>
      <c r="L50" s="43">
        <v>3</v>
      </c>
      <c r="M50" s="24"/>
      <c r="N50" s="2"/>
    </row>
    <row r="51" spans="1:14" ht="34.5" customHeight="1" x14ac:dyDescent="0.3">
      <c r="A51" s="2"/>
      <c r="B51" s="21"/>
      <c r="C51" s="44" t="s">
        <v>87</v>
      </c>
      <c r="D51" s="45" t="s">
        <v>90</v>
      </c>
      <c r="E51" s="119" t="s">
        <v>91</v>
      </c>
      <c r="F51" s="119"/>
      <c r="G51" s="119"/>
      <c r="H51" s="119"/>
      <c r="I51" s="119"/>
      <c r="J51" s="119"/>
      <c r="K51" s="45"/>
      <c r="L51" s="46">
        <v>3</v>
      </c>
      <c r="M51" s="24"/>
      <c r="N51" s="2"/>
    </row>
    <row r="52" spans="1:14" ht="34.5" customHeight="1" x14ac:dyDescent="0.3">
      <c r="A52" s="47"/>
      <c r="B52" s="48"/>
      <c r="C52" s="49" t="s">
        <v>92</v>
      </c>
      <c r="D52" s="42" t="s">
        <v>93</v>
      </c>
      <c r="E52" s="118" t="s">
        <v>94</v>
      </c>
      <c r="F52" s="118"/>
      <c r="G52" s="118"/>
      <c r="H52" s="118"/>
      <c r="I52" s="118"/>
      <c r="J52" s="118"/>
      <c r="K52" s="42"/>
      <c r="L52" s="50">
        <v>3</v>
      </c>
      <c r="M52" s="51"/>
      <c r="N52" s="47"/>
    </row>
    <row r="53" spans="1:14" ht="34.5" customHeight="1" x14ac:dyDescent="0.3">
      <c r="A53" s="2"/>
      <c r="B53" s="4"/>
      <c r="C53" s="52" t="s">
        <v>95</v>
      </c>
      <c r="D53" s="45" t="s">
        <v>96</v>
      </c>
      <c r="E53" s="119" t="s">
        <v>97</v>
      </c>
      <c r="F53" s="119"/>
      <c r="G53" s="119"/>
      <c r="H53" s="119"/>
      <c r="I53" s="119"/>
      <c r="J53" s="119"/>
      <c r="K53" s="45"/>
      <c r="L53" s="53">
        <v>3</v>
      </c>
      <c r="M53" s="24"/>
      <c r="N53" s="2"/>
    </row>
    <row r="54" spans="1:14" ht="34.5" customHeight="1" x14ac:dyDescent="0.3">
      <c r="A54" s="2"/>
      <c r="B54" s="4"/>
      <c r="C54" s="41" t="s">
        <v>98</v>
      </c>
      <c r="D54" s="42" t="s">
        <v>98</v>
      </c>
      <c r="E54" s="118" t="s">
        <v>99</v>
      </c>
      <c r="F54" s="118"/>
      <c r="G54" s="118"/>
      <c r="H54" s="118"/>
      <c r="I54" s="118"/>
      <c r="J54" s="118"/>
      <c r="K54" s="42"/>
      <c r="L54" s="43">
        <v>3</v>
      </c>
      <c r="M54" s="24"/>
      <c r="N54" s="2"/>
    </row>
    <row r="55" spans="1:14" ht="34.5" customHeight="1" x14ac:dyDescent="0.3">
      <c r="A55" s="2"/>
      <c r="B55" s="4"/>
      <c r="C55" s="44" t="s">
        <v>98</v>
      </c>
      <c r="D55" s="45" t="s">
        <v>100</v>
      </c>
      <c r="E55" s="119" t="s">
        <v>101</v>
      </c>
      <c r="F55" s="119"/>
      <c r="G55" s="119"/>
      <c r="H55" s="119"/>
      <c r="I55" s="119"/>
      <c r="J55" s="119"/>
      <c r="K55" s="45"/>
      <c r="L55" s="46">
        <v>3</v>
      </c>
      <c r="M55" s="24"/>
      <c r="N55" s="2"/>
    </row>
    <row r="56" spans="1:14" ht="34.5" customHeight="1" x14ac:dyDescent="0.3">
      <c r="A56" s="54"/>
      <c r="B56" s="55"/>
      <c r="C56" s="49" t="s">
        <v>102</v>
      </c>
      <c r="D56" s="42" t="s">
        <v>103</v>
      </c>
      <c r="E56" s="118" t="s">
        <v>104</v>
      </c>
      <c r="F56" s="118"/>
      <c r="G56" s="118"/>
      <c r="H56" s="118"/>
      <c r="I56" s="118"/>
      <c r="J56" s="118"/>
      <c r="K56" s="42"/>
      <c r="L56" s="50">
        <v>3</v>
      </c>
      <c r="M56" s="56"/>
      <c r="N56" s="54"/>
    </row>
    <row r="57" spans="1:14" ht="34.5" customHeight="1" x14ac:dyDescent="0.3">
      <c r="A57" s="2"/>
      <c r="B57" s="21"/>
      <c r="C57" s="52" t="s">
        <v>102</v>
      </c>
      <c r="D57" s="45" t="s">
        <v>105</v>
      </c>
      <c r="E57" s="119" t="s">
        <v>106</v>
      </c>
      <c r="F57" s="119"/>
      <c r="G57" s="119"/>
      <c r="H57" s="119"/>
      <c r="I57" s="119"/>
      <c r="J57" s="119"/>
      <c r="K57" s="45"/>
      <c r="L57" s="53">
        <v>3</v>
      </c>
      <c r="M57" s="24"/>
      <c r="N57" s="2"/>
    </row>
    <row r="58" spans="1:14" ht="14.4" x14ac:dyDescent="0.3">
      <c r="A58" s="2"/>
      <c r="B58" s="4"/>
      <c r="C58" s="4"/>
      <c r="D58" s="33"/>
      <c r="E58" s="33"/>
      <c r="F58" s="33"/>
      <c r="G58" s="33"/>
      <c r="H58" s="33"/>
      <c r="I58" s="33"/>
      <c r="J58" s="33"/>
      <c r="K58" s="33"/>
      <c r="L58" s="33"/>
      <c r="M58" s="33"/>
      <c r="N58" s="2"/>
    </row>
    <row r="59" spans="1:14" ht="14.4" x14ac:dyDescent="0.3">
      <c r="A59" s="2"/>
      <c r="B59" s="2"/>
      <c r="C59" s="2"/>
      <c r="D59" s="2"/>
      <c r="E59" s="2"/>
      <c r="F59" s="2"/>
      <c r="G59" s="2"/>
      <c r="H59" s="2"/>
      <c r="I59" s="2"/>
      <c r="J59" s="2"/>
      <c r="K59" s="2"/>
      <c r="L59" s="2"/>
      <c r="M59" s="2"/>
      <c r="N59" s="2"/>
    </row>
    <row r="60" spans="1:14" ht="23.4" x14ac:dyDescent="0.45">
      <c r="A60" s="2" t="s">
        <v>0</v>
      </c>
      <c r="B60" s="57" t="s">
        <v>0</v>
      </c>
      <c r="C60" s="108" t="s">
        <v>107</v>
      </c>
      <c r="D60" s="108"/>
      <c r="E60" s="108"/>
      <c r="F60" s="58" t="s">
        <v>0</v>
      </c>
      <c r="G60" s="4" t="s">
        <v>0</v>
      </c>
      <c r="H60" s="4" t="s">
        <v>0</v>
      </c>
      <c r="I60" s="4" t="s">
        <v>0</v>
      </c>
      <c r="J60" s="4" t="s">
        <v>0</v>
      </c>
      <c r="K60" s="4"/>
      <c r="L60" s="4" t="s">
        <v>0</v>
      </c>
      <c r="M60" s="4" t="s">
        <v>0</v>
      </c>
      <c r="N60" s="2" t="s">
        <v>0</v>
      </c>
    </row>
    <row r="61" spans="1:14" ht="15" customHeight="1" x14ac:dyDescent="0.3">
      <c r="A61" s="2" t="s">
        <v>0</v>
      </c>
      <c r="B61" s="57" t="s">
        <v>0</v>
      </c>
      <c r="C61" s="15" t="s">
        <v>108</v>
      </c>
      <c r="D61" s="15" t="s">
        <v>109</v>
      </c>
      <c r="E61" s="114" t="s">
        <v>110</v>
      </c>
      <c r="F61" s="114"/>
      <c r="G61" s="114"/>
      <c r="H61" s="114"/>
      <c r="I61" s="59" t="s">
        <v>111</v>
      </c>
      <c r="J61" s="15"/>
      <c r="K61" s="15"/>
      <c r="L61" s="15"/>
      <c r="M61" s="4" t="s">
        <v>0</v>
      </c>
      <c r="N61" s="2" t="s">
        <v>0</v>
      </c>
    </row>
    <row r="62" spans="1:14" ht="48" customHeight="1" x14ac:dyDescent="0.3">
      <c r="A62" s="2" t="s">
        <v>0</v>
      </c>
      <c r="B62" s="4" t="s">
        <v>0</v>
      </c>
      <c r="C62" s="60">
        <v>1</v>
      </c>
      <c r="D62" s="61" t="s">
        <v>112</v>
      </c>
      <c r="E62" s="112" t="s">
        <v>113</v>
      </c>
      <c r="F62" s="112"/>
      <c r="G62" s="112"/>
      <c r="H62" s="112"/>
      <c r="I62" s="113" t="s">
        <v>114</v>
      </c>
      <c r="J62" s="113"/>
      <c r="K62" s="113"/>
      <c r="L62" s="113"/>
      <c r="M62" s="4" t="s">
        <v>0</v>
      </c>
      <c r="N62" s="2" t="s">
        <v>0</v>
      </c>
    </row>
    <row r="63" spans="1:14" ht="48" customHeight="1" x14ac:dyDescent="0.3">
      <c r="A63" s="2" t="s">
        <v>0</v>
      </c>
      <c r="B63" s="4" t="s">
        <v>0</v>
      </c>
      <c r="C63" s="62">
        <v>2</v>
      </c>
      <c r="D63" s="63" t="s">
        <v>115</v>
      </c>
      <c r="E63" s="115" t="s">
        <v>116</v>
      </c>
      <c r="F63" s="115"/>
      <c r="G63" s="115"/>
      <c r="H63" s="115"/>
      <c r="I63" s="116" t="s">
        <v>117</v>
      </c>
      <c r="J63" s="116"/>
      <c r="K63" s="116"/>
      <c r="L63" s="116"/>
      <c r="M63" s="4" t="s">
        <v>0</v>
      </c>
      <c r="N63" s="2" t="s">
        <v>0</v>
      </c>
    </row>
    <row r="64" spans="1:14" ht="48" customHeight="1" x14ac:dyDescent="0.3">
      <c r="A64" s="2" t="s">
        <v>0</v>
      </c>
      <c r="B64" s="4" t="s">
        <v>0</v>
      </c>
      <c r="C64" s="60">
        <v>3</v>
      </c>
      <c r="D64" s="61" t="s">
        <v>118</v>
      </c>
      <c r="E64" s="112" t="s">
        <v>119</v>
      </c>
      <c r="F64" s="112"/>
      <c r="G64" s="112"/>
      <c r="H64" s="112"/>
      <c r="I64" s="113" t="s">
        <v>120</v>
      </c>
      <c r="J64" s="113"/>
      <c r="K64" s="113"/>
      <c r="L64" s="113"/>
      <c r="M64" s="4" t="s">
        <v>0</v>
      </c>
      <c r="N64" s="2" t="s">
        <v>0</v>
      </c>
    </row>
    <row r="65" spans="1:14" ht="48" customHeight="1" x14ac:dyDescent="0.3">
      <c r="A65" s="2" t="s">
        <v>0</v>
      </c>
      <c r="B65" s="4" t="s">
        <v>0</v>
      </c>
      <c r="C65" s="62">
        <v>4</v>
      </c>
      <c r="D65" s="63" t="s">
        <v>121</v>
      </c>
      <c r="E65" s="115" t="s">
        <v>122</v>
      </c>
      <c r="F65" s="115"/>
      <c r="G65" s="115"/>
      <c r="H65" s="115"/>
      <c r="I65" s="116" t="s">
        <v>123</v>
      </c>
      <c r="J65" s="116"/>
      <c r="K65" s="116"/>
      <c r="L65" s="116"/>
      <c r="M65" s="4" t="s">
        <v>0</v>
      </c>
      <c r="N65" s="2" t="s">
        <v>0</v>
      </c>
    </row>
    <row r="66" spans="1:14" ht="48" customHeight="1" x14ac:dyDescent="0.3">
      <c r="A66" s="2" t="s">
        <v>0</v>
      </c>
      <c r="B66" s="4" t="s">
        <v>0</v>
      </c>
      <c r="C66" s="60">
        <v>5</v>
      </c>
      <c r="D66" s="61" t="s">
        <v>124</v>
      </c>
      <c r="E66" s="112" t="s">
        <v>125</v>
      </c>
      <c r="F66" s="112"/>
      <c r="G66" s="112"/>
      <c r="H66" s="112"/>
      <c r="I66" s="113" t="s">
        <v>126</v>
      </c>
      <c r="J66" s="113"/>
      <c r="K66" s="113"/>
      <c r="L66" s="113"/>
      <c r="M66" s="4" t="s">
        <v>0</v>
      </c>
      <c r="N66" s="2" t="s">
        <v>0</v>
      </c>
    </row>
    <row r="67" spans="1:14" ht="14.4" x14ac:dyDescent="0.3">
      <c r="A67" s="2" t="s">
        <v>0</v>
      </c>
      <c r="B67" s="4" t="s">
        <v>0</v>
      </c>
      <c r="C67" s="4" t="s">
        <v>0</v>
      </c>
      <c r="D67" s="4" t="s">
        <v>0</v>
      </c>
      <c r="E67" s="4" t="s">
        <v>0</v>
      </c>
      <c r="F67" s="4" t="s">
        <v>0</v>
      </c>
      <c r="G67" s="4" t="s">
        <v>0</v>
      </c>
      <c r="H67" s="4" t="s">
        <v>0</v>
      </c>
      <c r="I67" s="4" t="s">
        <v>0</v>
      </c>
      <c r="J67" s="4" t="s">
        <v>0</v>
      </c>
      <c r="K67" s="4"/>
      <c r="L67" s="4" t="s">
        <v>0</v>
      </c>
      <c r="M67" s="4" t="s">
        <v>0</v>
      </c>
      <c r="N67" s="2" t="s">
        <v>0</v>
      </c>
    </row>
    <row r="68" spans="1:14" ht="14.4" x14ac:dyDescent="0.3">
      <c r="A68" s="2" t="s">
        <v>0</v>
      </c>
      <c r="B68" s="2" t="s">
        <v>0</v>
      </c>
      <c r="C68" s="2" t="s">
        <v>0</v>
      </c>
      <c r="D68" s="2" t="s">
        <v>0</v>
      </c>
      <c r="E68" s="2" t="s">
        <v>0</v>
      </c>
      <c r="F68" s="2" t="s">
        <v>0</v>
      </c>
      <c r="G68" s="2" t="s">
        <v>0</v>
      </c>
      <c r="H68" s="2" t="s">
        <v>0</v>
      </c>
      <c r="I68" s="2" t="s">
        <v>0</v>
      </c>
      <c r="J68" s="2" t="s">
        <v>0</v>
      </c>
      <c r="K68" s="2"/>
      <c r="L68" s="2" t="s">
        <v>0</v>
      </c>
      <c r="M68" s="2" t="s">
        <v>0</v>
      </c>
      <c r="N68" s="2" t="s">
        <v>0</v>
      </c>
    </row>
    <row r="77" spans="1:14" ht="14.4" x14ac:dyDescent="0.3"/>
    <row r="78" spans="1:14" ht="14.4" x14ac:dyDescent="0.3"/>
    <row r="79" spans="1:14" ht="14.4" x14ac:dyDescent="0.3"/>
  </sheetData>
  <protectedRanges>
    <protectedRange algorithmName="SHA-512" hashValue="NcQe0VjxFnxU9SziGkmWOoYUYoQ0T62vv+WqFE1sowJD2+jDiq1RKEMS6wObDPCk433k/JG1CTU3j62rwNOzdg==" saltValue="OlYFZTFPx5QDCqKlqXj8fw==" spinCount="100000" sqref="D42:L42 C36:E36 E32:F32 J36:K36 C41:I41 J24:K24 C21:I21 C13:K13 D12:L12 G25:I25 H24 C29:I29 H32:K32 J16:K16 C17:G17 I17 C33:H33 C40:K40 C32 C28:K28 C24:F25 C20:K20 C16 C37:I37" name="Range1_2_1_7"/>
    <protectedRange algorithmName="SHA-512" hashValue="NcQe0VjxFnxU9SziGkmWOoYUYoQ0T62vv+WqFE1sowJD2+jDiq1RKEMS6wObDPCk433k/JG1CTU3j62rwNOzdg==" saltValue="OlYFZTFPx5QDCqKlqXj8fw==" spinCount="100000" sqref="D16:G16 I16" name="Range1_2_1_7_1"/>
    <protectedRange algorithmName="SHA-512" hashValue="NcQe0VjxFnxU9SziGkmWOoYUYoQ0T62vv+WqFE1sowJD2+jDiq1RKEMS6wObDPCk433k/JG1CTU3j62rwNOzdg==" saltValue="OlYFZTFPx5QDCqKlqXj8fw==" spinCount="100000" sqref="D32" name="Range1_2_1_7_2"/>
    <protectedRange algorithmName="SHA-512" hashValue="NcQe0VjxFnxU9SziGkmWOoYUYoQ0T62vv+WqFE1sowJD2+jDiq1RKEMS6wObDPCk433k/JG1CTU3j62rwNOzdg==" saltValue="OlYFZTFPx5QDCqKlqXj8fw==" spinCount="100000" sqref="F36:H36" name="Range1_2_1_7_3"/>
  </protectedRanges>
  <mergeCells count="77">
    <mergeCell ref="C60:E60"/>
    <mergeCell ref="E47:J47"/>
    <mergeCell ref="E48:J48"/>
    <mergeCell ref="E49:J49"/>
    <mergeCell ref="E50:J50"/>
    <mergeCell ref="E51:J51"/>
    <mergeCell ref="E52:J52"/>
    <mergeCell ref="E53:J53"/>
    <mergeCell ref="E54:J54"/>
    <mergeCell ref="E55:J55"/>
    <mergeCell ref="E56:J56"/>
    <mergeCell ref="E57:J57"/>
    <mergeCell ref="E66:H66"/>
    <mergeCell ref="I66:L66"/>
    <mergeCell ref="E61:H61"/>
    <mergeCell ref="E62:H62"/>
    <mergeCell ref="I62:L62"/>
    <mergeCell ref="E63:H63"/>
    <mergeCell ref="I63:L63"/>
    <mergeCell ref="E64:H64"/>
    <mergeCell ref="I64:L64"/>
    <mergeCell ref="E65:H65"/>
    <mergeCell ref="I65:L65"/>
    <mergeCell ref="D34:J34"/>
    <mergeCell ref="E46:I46"/>
    <mergeCell ref="D38:J38"/>
    <mergeCell ref="J40:J41"/>
    <mergeCell ref="H36:I36"/>
    <mergeCell ref="H37:I37"/>
    <mergeCell ref="H35:I35"/>
    <mergeCell ref="L40:L41"/>
    <mergeCell ref="C45:E45"/>
    <mergeCell ref="J36:J37"/>
    <mergeCell ref="K36:K37"/>
    <mergeCell ref="L36:L37"/>
    <mergeCell ref="K40:K41"/>
    <mergeCell ref="K24:K25"/>
    <mergeCell ref="L24:L25"/>
    <mergeCell ref="D26:I26"/>
    <mergeCell ref="D30:J30"/>
    <mergeCell ref="J32:J33"/>
    <mergeCell ref="K32:K33"/>
    <mergeCell ref="L32:L33"/>
    <mergeCell ref="H31:I31"/>
    <mergeCell ref="H32:I32"/>
    <mergeCell ref="H29:I29"/>
    <mergeCell ref="H33:I33"/>
    <mergeCell ref="F24:G24"/>
    <mergeCell ref="H24:I24"/>
    <mergeCell ref="H28:I28"/>
    <mergeCell ref="H27:I27"/>
    <mergeCell ref="F25:G25"/>
    <mergeCell ref="J5:J9"/>
    <mergeCell ref="K5:L9"/>
    <mergeCell ref="F13:I13"/>
    <mergeCell ref="J28:J29"/>
    <mergeCell ref="K28:K29"/>
    <mergeCell ref="L28:L29"/>
    <mergeCell ref="D14:J14"/>
    <mergeCell ref="J16:J17"/>
    <mergeCell ref="K16:K17"/>
    <mergeCell ref="L16:L17"/>
    <mergeCell ref="D18:J18"/>
    <mergeCell ref="J20:J21"/>
    <mergeCell ref="K20:K21"/>
    <mergeCell ref="L20:L21"/>
    <mergeCell ref="D22:J22"/>
    <mergeCell ref="J24:J25"/>
    <mergeCell ref="F23:G23"/>
    <mergeCell ref="H23:I23"/>
    <mergeCell ref="H25:I25"/>
    <mergeCell ref="G16:H16"/>
    <mergeCell ref="G15:H15"/>
    <mergeCell ref="G17:H17"/>
    <mergeCell ref="F21:I21"/>
    <mergeCell ref="F20:I20"/>
    <mergeCell ref="F19:I19"/>
  </mergeCells>
  <conditionalFormatting sqref="J42:L42">
    <cfRule type="cellIs" dxfId="3" priority="8" operator="equal">
      <formula>100</formula>
    </cfRule>
  </conditionalFormatting>
  <conditionalFormatting sqref="K5">
    <cfRule type="containsText" dxfId="2" priority="5" operator="containsText" text="FAIL">
      <formula>NOT(ISERROR(SEARCH(("FAIL"),(K5))))</formula>
    </cfRule>
    <cfRule type="cellIs" dxfId="1" priority="6" operator="equal">
      <formula>"PASS"</formula>
    </cfRule>
    <cfRule type="cellIs" dxfId="0" priority="7" operator="equal">
      <formula>"M/O"</formula>
    </cfRule>
  </conditionalFormatting>
  <dataValidations count="9">
    <dataValidation type="list" allowBlank="1" showInputMessage="1" showErrorMessage="1" sqref="G29 H25:I25" xr:uid="{BE6E0420-2218-4805-9AC0-1F755A6679E6}">
      <formula1>"0,1,2,3"</formula1>
    </dataValidation>
    <dataValidation type="list" allowBlank="1" showInputMessage="1" showErrorMessage="1" sqref="E41 E17 E21 E25 E29 E37 E33" xr:uid="{22DA88BB-424B-4E26-BC8B-BC2F9E585B53}">
      <formula1>"yes,no"</formula1>
    </dataValidation>
    <dataValidation type="list" allowBlank="1" showInputMessage="1" showErrorMessage="1" sqref="F17 H33:I33 F37:G37" xr:uid="{5A14E42F-FBCF-4011-9F6B-F0533094E918}">
      <formula1>"0,1,2,3,4,5,6"</formula1>
    </dataValidation>
    <dataValidation type="list" allowBlank="1" showInputMessage="1" showErrorMessage="1" sqref="G17:H17 F21:I21" xr:uid="{81BB03E7-DEE0-4BAC-ABCF-818B7FF26DB9}">
      <formula1>"0,1,2,3,4,5,6,7,8,9,10"</formula1>
    </dataValidation>
    <dataValidation type="list" allowBlank="1" showInputMessage="1" showErrorMessage="1" sqref="I17 F33 H41:I41" xr:uid="{7D719724-029A-4A84-B10A-8116D73A1A0C}">
      <formula1>"0,1,2,3,4"</formula1>
    </dataValidation>
    <dataValidation type="list" allowBlank="1" showInputMessage="1" showErrorMessage="1" sqref="F29 F41" xr:uid="{3FC9AC2C-808D-4F82-8078-C2F7C38C8968}">
      <formula1>"0,1,2"</formula1>
    </dataValidation>
    <dataValidation type="list" allowBlank="1" showInputMessage="1" showErrorMessage="1" sqref="H29:I29 G33 G41" xr:uid="{502CDD91-1B0F-4F7E-990E-6C51CB8A3310}">
      <formula1>"0,1,2,3,4,5"</formula1>
    </dataValidation>
    <dataValidation type="list" allowBlank="1" showInputMessage="1" showErrorMessage="1" sqref="H37:I37" xr:uid="{43700A77-0505-48A1-9784-44ADB4FB8893}">
      <formula1>"0,1,2,3,4,5,6,7,8"</formula1>
    </dataValidation>
    <dataValidation type="list" allowBlank="1" showInputMessage="1" showErrorMessage="1" sqref="F25:G25" xr:uid="{29E80B30-6DEA-994B-B668-EA6BCA575033}">
      <formula1>"0,1,2,3,4,5,6,7"</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BADAD4AA324BF48804EF76FD903323C" ma:contentTypeVersion="15" ma:contentTypeDescription="Create a new document." ma:contentTypeScope="" ma:versionID="4ea0feda506421460444ca95554a0aab">
  <xsd:schema xmlns:xsd="http://www.w3.org/2001/XMLSchema" xmlns:xs="http://www.w3.org/2001/XMLSchema" xmlns:p="http://schemas.microsoft.com/office/2006/metadata/properties" xmlns:ns2="5ff92c65-ed86-4457-baee-ccd535c9ea21" xmlns:ns3="6c8d291c-a5bf-4049-930d-38db8e991d8e" targetNamespace="http://schemas.microsoft.com/office/2006/metadata/properties" ma:root="true" ma:fieldsID="0fc8cf7d0f5ee312899395875a30595e" ns2:_="" ns3:_="">
    <xsd:import namespace="5ff92c65-ed86-4457-baee-ccd535c9ea21"/>
    <xsd:import namespace="6c8d291c-a5bf-4049-930d-38db8e991d8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f92c65-ed86-4457-baee-ccd535c9ea2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65a90ea-d0e7-4aae-8ef9-9f5dd1eb65e3"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8d291c-a5bf-4049-930d-38db8e991d8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ad53588-c864-4711-ad43-fad96b40598a}" ma:internalName="TaxCatchAll" ma:showField="CatchAllData" ma:web="6c8d291c-a5bf-4049-930d-38db8e991d8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ff92c65-ed86-4457-baee-ccd535c9ea21">
      <Terms xmlns="http://schemas.microsoft.com/office/infopath/2007/PartnerControls"/>
    </lcf76f155ced4ddcb4097134ff3c332f>
    <TaxCatchAll xmlns="6c8d291c-a5bf-4049-930d-38db8e991d8e" xsi:nil="true"/>
  </documentManagement>
</p:properties>
</file>

<file path=customXml/itemProps1.xml><?xml version="1.0" encoding="utf-8"?>
<ds:datastoreItem xmlns:ds="http://schemas.openxmlformats.org/officeDocument/2006/customXml" ds:itemID="{8A45033E-4559-4C88-9285-A7DB958BB90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f92c65-ed86-4457-baee-ccd535c9ea21"/>
    <ds:schemaRef ds:uri="6c8d291c-a5bf-4049-930d-38db8e991d8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4FF10AE-F077-47D8-9800-955D35B76009}">
  <ds:schemaRefs>
    <ds:schemaRef ds:uri="http://schemas.microsoft.com/sharepoint/v3/contenttype/forms"/>
  </ds:schemaRefs>
</ds:datastoreItem>
</file>

<file path=customXml/itemProps3.xml><?xml version="1.0" encoding="utf-8"?>
<ds:datastoreItem xmlns:ds="http://schemas.openxmlformats.org/officeDocument/2006/customXml" ds:itemID="{0AF36F1F-231E-4C70-9638-B9BB082E34B9}">
  <ds:schemaRefs>
    <ds:schemaRef ds:uri="http://schemas.microsoft.com/office/2006/metadata/properties"/>
    <ds:schemaRef ds:uri="http://schemas.microsoft.com/office/infopath/2007/PartnerControls"/>
    <ds:schemaRef ds:uri="5ff92c65-ed86-4457-baee-ccd535c9ea21"/>
    <ds:schemaRef ds:uri="6c8d291c-a5bf-4049-930d-38db8e991d8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Buckens, Myrthe</dc:creator>
  <cp:keywords/>
  <dc:description/>
  <cp:lastModifiedBy>Ceren Kurt</cp:lastModifiedBy>
  <cp:revision/>
  <cp:lastPrinted>2025-06-19T20:03:29Z</cp:lastPrinted>
  <dcterms:created xsi:type="dcterms:W3CDTF">2024-09-16T12:30:14Z</dcterms:created>
  <dcterms:modified xsi:type="dcterms:W3CDTF">2025-06-19T20:04:05Z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0x0101000BADAD4AA324BF48804EF76FD903323C</vt:lpwstr>
  </property>
  <property fmtid="{D5CDD505-2E9C-101B-9397-08002B2CF9AE}" pid="3" name="xd_ProgID">
    <vt:lpwstr/>
  </property>
  <property fmtid="{D5CDD505-2E9C-101B-9397-08002B2CF9AE}" pid="4" name="MediaServiceImageTags">
    <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y fmtid="{D5CDD505-2E9C-101B-9397-08002B2CF9AE}" pid="11" name="xd_Signature">
    <vt:bool>false</vt:bool>
  </property>
</Properties>
</file>