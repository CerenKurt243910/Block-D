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8_{93B21404-E0E5-464A-B511-CD46D40E556B}" xr6:coauthVersionLast="47" xr6:coauthVersionMax="47" xr10:uidLastSave="{00000000-0000-0000-0000-000000000000}"/>
  <bookViews>
    <workbookView xWindow="0" yWindow="0" windowWidth="38400" windowHeight="21600"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'Worklog_Tasks&amp;Times'!$A$1:$J$18</definedName>
    <definedName name="_xlnm.Print_Area" localSheetId="0">'Worklog_Tasks&amp;Times'!$A$1:$J$121</definedName>
    <definedName name="Z_8BAC9A6B_5D32_4E8D_967D_E17D357516F8_.wvu.FilterData" localSheetId="0" hidden="1">'Worklog_Tasks&amp;Times'!$A$1:$J$18</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3" i="1" l="1"/>
  <c r="I112" i="1"/>
  <c r="I111" i="1"/>
  <c r="I117" i="1" l="1"/>
  <c r="I116" i="1"/>
  <c r="I115" i="1"/>
  <c r="I114" i="1"/>
  <c r="I69" i="1"/>
  <c r="I68" i="1"/>
  <c r="I53" i="1"/>
  <c r="I51" i="1"/>
  <c r="I50" i="1"/>
  <c r="I49" i="1"/>
  <c r="I34" i="1"/>
  <c r="I33" i="1"/>
  <c r="I32" i="1"/>
  <c r="I31" i="1"/>
  <c r="H18" i="1"/>
  <c r="I17" i="1"/>
  <c r="G18" i="1"/>
  <c r="I16" i="1"/>
  <c r="I15" i="1"/>
  <c r="H118" i="1" l="1"/>
  <c r="G118" i="1"/>
  <c r="G5" i="2" a="1"/>
  <c r="G5" i="2" s="1"/>
  <c r="H5" i="2" a="1"/>
  <c r="H5" i="2" s="1"/>
  <c r="I5" i="2" a="1"/>
  <c r="I5" i="2" s="1"/>
  <c r="J5" i="2" a="1"/>
  <c r="J5" i="2" s="1"/>
  <c r="F9" i="2" a="1"/>
  <c r="F9" i="2" s="1"/>
  <c r="G9" i="2" a="1"/>
  <c r="G9" i="2" s="1"/>
  <c r="J4" i="2" a="1"/>
  <c r="J4" i="2" s="1"/>
  <c r="I4" i="2" a="1"/>
  <c r="I4" i="2" s="1"/>
  <c r="H4" i="2" a="1"/>
  <c r="H4" i="2" s="1"/>
  <c r="G4" i="2" a="1"/>
  <c r="G4" i="2" s="1"/>
  <c r="F4" i="2" a="1"/>
  <c r="F4" i="2" s="1"/>
  <c r="E4" i="2" a="1"/>
  <c r="E4" i="2" s="1"/>
  <c r="D5" i="2" a="1"/>
  <c r="D5" i="2" s="1"/>
  <c r="D4" i="2" a="1"/>
  <c r="D4" i="2" s="1"/>
  <c r="C4" i="2" a="1"/>
  <c r="C4" i="2" s="1"/>
  <c r="B10" i="2"/>
  <c r="D10" i="2" s="1" a="1"/>
  <c r="D10" i="2" s="1"/>
  <c r="B9" i="2"/>
  <c r="E9" i="2" s="1" a="1"/>
  <c r="E9" i="2" s="1"/>
  <c r="B8" i="2"/>
  <c r="C8" i="2" s="1" a="1"/>
  <c r="C8" i="2" s="1"/>
  <c r="B7" i="2"/>
  <c r="E7" i="2" s="1" a="1"/>
  <c r="E7" i="2" s="1"/>
  <c r="B6" i="2"/>
  <c r="C6" i="2" s="1" a="1"/>
  <c r="C6" i="2" s="1"/>
  <c r="B5" i="2"/>
  <c r="F5" i="2" s="1" a="1"/>
  <c r="F5" i="2" s="1"/>
  <c r="B4" i="2"/>
  <c r="K3" i="2"/>
  <c r="B3" i="2"/>
  <c r="I110" i="1"/>
  <c r="I109" i="1"/>
  <c r="I108" i="1"/>
  <c r="I107" i="1"/>
  <c r="I106" i="1"/>
  <c r="I105" i="1"/>
  <c r="I104" i="1"/>
  <c r="I103" i="1"/>
  <c r="I102" i="1"/>
  <c r="H98" i="1"/>
  <c r="G98" i="1"/>
  <c r="I97" i="1"/>
  <c r="I96" i="1"/>
  <c r="I95" i="1"/>
  <c r="I94" i="1"/>
  <c r="I93" i="1"/>
  <c r="I92" i="1"/>
  <c r="I91" i="1"/>
  <c r="I90" i="1"/>
  <c r="I89" i="1"/>
  <c r="I88" i="1"/>
  <c r="H84" i="1"/>
  <c r="G84" i="1"/>
  <c r="I83" i="1"/>
  <c r="I82" i="1"/>
  <c r="I81" i="1"/>
  <c r="I80" i="1"/>
  <c r="I79" i="1"/>
  <c r="I78" i="1"/>
  <c r="I77" i="1"/>
  <c r="I76" i="1"/>
  <c r="I75" i="1"/>
  <c r="I74" i="1"/>
  <c r="H70" i="1"/>
  <c r="G70" i="1"/>
  <c r="I67" i="1"/>
  <c r="I66" i="1"/>
  <c r="I65" i="1"/>
  <c r="I64" i="1"/>
  <c r="I63" i="1"/>
  <c r="I62" i="1"/>
  <c r="I61" i="1"/>
  <c r="I60" i="1"/>
  <c r="I59" i="1"/>
  <c r="H55" i="1"/>
  <c r="G55" i="1"/>
  <c r="I54" i="1"/>
  <c r="I52" i="1"/>
  <c r="I48" i="1"/>
  <c r="I47" i="1"/>
  <c r="I46" i="1"/>
  <c r="I45" i="1"/>
  <c r="I44" i="1"/>
  <c r="I43" i="1"/>
  <c r="I42" i="1"/>
  <c r="I41" i="1"/>
  <c r="H37" i="1"/>
  <c r="G37" i="1"/>
  <c r="I36" i="1"/>
  <c r="I35" i="1"/>
  <c r="I30" i="1"/>
  <c r="I29" i="1"/>
  <c r="I28" i="1"/>
  <c r="I26" i="1"/>
  <c r="I25" i="1"/>
  <c r="I24" i="1"/>
  <c r="I23" i="1"/>
  <c r="I22" i="1"/>
  <c r="I14" i="1"/>
  <c r="I13" i="1"/>
  <c r="I12" i="1"/>
  <c r="I11" i="1"/>
  <c r="I10" i="1"/>
  <c r="I9" i="1"/>
  <c r="I8" i="1"/>
  <c r="I7" i="1"/>
  <c r="I6" i="1"/>
  <c r="I5" i="1"/>
  <c r="G121" i="1" l="1"/>
  <c r="I118" i="1"/>
  <c r="I10" i="2" a="1"/>
  <c r="I10" i="2" s="1"/>
  <c r="G7" i="2" a="1"/>
  <c r="G7" i="2" s="1"/>
  <c r="H7" i="2" a="1"/>
  <c r="H7" i="2" s="1"/>
  <c r="H121" i="1"/>
  <c r="I84" i="1"/>
  <c r="E10" i="2" a="1"/>
  <c r="E10" i="2" s="1"/>
  <c r="J10" i="2" a="1"/>
  <c r="J10" i="2" s="1"/>
  <c r="G10" i="2" a="1"/>
  <c r="G10" i="2" s="1"/>
  <c r="C10" i="2" a="1"/>
  <c r="C10" i="2" s="1"/>
  <c r="H10" i="2" a="1"/>
  <c r="H10" i="2" s="1"/>
  <c r="F10" i="2" a="1"/>
  <c r="F10" i="2" s="1"/>
  <c r="C9" i="2" a="1"/>
  <c r="C9" i="2" s="1"/>
  <c r="J9" i="2" a="1"/>
  <c r="J9" i="2" s="1"/>
  <c r="I9" i="2" a="1"/>
  <c r="I9" i="2" s="1"/>
  <c r="D9" i="2" a="1"/>
  <c r="D9" i="2" s="1"/>
  <c r="H9" i="2" a="1"/>
  <c r="H9" i="2" s="1"/>
  <c r="D8" i="2" a="1"/>
  <c r="D8" i="2" s="1"/>
  <c r="J8" i="2" a="1"/>
  <c r="J8" i="2" s="1"/>
  <c r="I8" i="2" a="1"/>
  <c r="I8" i="2" s="1"/>
  <c r="H8" i="2" a="1"/>
  <c r="H8" i="2" s="1"/>
  <c r="G8" i="2" a="1"/>
  <c r="G8" i="2" s="1"/>
  <c r="F8" i="2" a="1"/>
  <c r="F8" i="2" s="1"/>
  <c r="E8" i="2" a="1"/>
  <c r="E8" i="2" s="1"/>
  <c r="D7" i="2" a="1"/>
  <c r="D7" i="2" s="1"/>
  <c r="C7" i="2" a="1"/>
  <c r="C7" i="2" s="1"/>
  <c r="I7" i="2" a="1"/>
  <c r="I7" i="2" s="1"/>
  <c r="J7" i="2" a="1"/>
  <c r="J7" i="2" s="1"/>
  <c r="F7" i="2" a="1"/>
  <c r="F7" i="2" s="1"/>
  <c r="D6" i="2" a="1"/>
  <c r="D6" i="2" s="1"/>
  <c r="J6" i="2" a="1"/>
  <c r="J6" i="2" s="1"/>
  <c r="I6" i="2" a="1"/>
  <c r="I6" i="2" s="1"/>
  <c r="H6" i="2" a="1"/>
  <c r="H6" i="2" s="1"/>
  <c r="G6" i="2" a="1"/>
  <c r="G6" i="2" s="1"/>
  <c r="F6" i="2" a="1"/>
  <c r="F6" i="2" s="1"/>
  <c r="E6" i="2" a="1"/>
  <c r="E6" i="2" s="1"/>
  <c r="C5" i="2" a="1"/>
  <c r="C5" i="2" s="1"/>
  <c r="E5" i="2" a="1"/>
  <c r="E5" i="2" s="1"/>
  <c r="K4" i="2"/>
  <c r="I18" i="1"/>
  <c r="I37" i="1"/>
  <c r="I55" i="1"/>
  <c r="I70" i="1"/>
  <c r="I98" i="1"/>
  <c r="I121" i="1" l="1"/>
  <c r="K6" i="2"/>
  <c r="K9" i="2"/>
  <c r="K7" i="2"/>
  <c r="D11" i="2"/>
  <c r="K10" i="2"/>
  <c r="H11" i="2"/>
  <c r="K8" i="2"/>
  <c r="G11" i="2"/>
  <c r="I11" i="2"/>
  <c r="J11" i="2"/>
  <c r="C11" i="2"/>
  <c r="F11" i="2"/>
  <c r="E11" i="2"/>
  <c r="K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<sst xmlns="http://schemas.openxmlformats.org/spreadsheetml/2006/main" count="606" uniqueCount="298">
  <si>
    <t>Date</t>
  </si>
  <si>
    <t>Status</t>
  </si>
  <si>
    <t>Task</t>
  </si>
  <si>
    <t>Description/Planning</t>
  </si>
  <si>
    <t>Task Type</t>
  </si>
  <si>
    <t>Most suited ILO</t>
  </si>
  <si>
    <t>Est Hours</t>
  </si>
  <si>
    <t>Actual Hours</t>
  </si>
  <si>
    <t>Diff</t>
  </si>
  <si>
    <t>Task reflection / notes</t>
  </si>
  <si>
    <t>Week 1</t>
  </si>
  <si>
    <t>week plan:</t>
  </si>
  <si>
    <t>- Weekplan item 1
- Weekplan item 2
- Weekplan item 3
- etc</t>
  </si>
  <si>
    <t>Known Risks</t>
  </si>
  <si>
    <t>[Enter known possible issues that are a risk for you to finish the high level week planning]</t>
  </si>
  <si>
    <t>Total Hours</t>
  </si>
  <si>
    <t>Week 2</t>
  </si>
  <si>
    <t>Week 3</t>
  </si>
  <si>
    <t xml:space="preserve">Week 4 </t>
  </si>
  <si>
    <t xml:space="preserve">Week 5 </t>
  </si>
  <si>
    <t xml:space="preserve">Week 6 </t>
  </si>
  <si>
    <t>Week 7</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</si>
  <si>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</si>
  <si>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</si>
  <si>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</si>
  <si>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</si>
  <si>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</si>
  <si>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</si>
  <si>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</si>
  <si>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</si>
  <si>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</si>
  <si>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</si>
  <si>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</si>
  <si>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</si>
  <si>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</si>
  <si>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Task Status</t>
  </si>
  <si>
    <t>ILO selection</t>
  </si>
  <si>
    <t>-</t>
  </si>
  <si>
    <t>Planned</t>
  </si>
  <si>
    <t>Design</t>
  </si>
  <si>
    <t>Unplanned</t>
  </si>
  <si>
    <t>Meeting</t>
  </si>
  <si>
    <t>Blocked</t>
  </si>
  <si>
    <t>Programming</t>
  </si>
  <si>
    <t>In-Progress</t>
  </si>
  <si>
    <t>Research</t>
  </si>
  <si>
    <t>Done</t>
  </si>
  <si>
    <t>Testing</t>
  </si>
  <si>
    <t>Delayed</t>
  </si>
  <si>
    <t>Workshop</t>
  </si>
  <si>
    <t>Cancelled</t>
  </si>
  <si>
    <t>Planning</t>
  </si>
  <si>
    <t>Evidencing</t>
  </si>
  <si>
    <t>Debugging</t>
  </si>
  <si>
    <t>Lecture</t>
  </si>
  <si>
    <t>Study</t>
  </si>
  <si>
    <t>Distraction</t>
  </si>
  <si>
    <t>Break</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</si>
  <si>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</si>
  <si>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ILO 1.4</t>
  </si>
  <si>
    <t>ILO 2.4</t>
  </si>
  <si>
    <t>ILO 3.3</t>
  </si>
  <si>
    <t>ILO 4.2</t>
  </si>
  <si>
    <t>ILO 6.3</t>
  </si>
  <si>
    <t>ILO 8.4</t>
  </si>
  <si>
    <t>ILO 9.2</t>
  </si>
  <si>
    <t>Missing the session made it harder to start, but reviewing the material helped me catch up</t>
  </si>
  <si>
    <t>The exercises made me feel more confident about working with large financial datasets</t>
  </si>
  <si>
    <t>The course was a good refresher and clarified differences between relational and SQL databases.</t>
  </si>
  <si>
    <t>Learning about the client’s goals helped me see how data can support real-world finance</t>
  </si>
  <si>
    <t>I explored schema design, normalization vs denormalization</t>
  </si>
  <si>
    <t>Writing more advanced queries boosted my confidence</t>
  </si>
  <si>
    <t>It helped me realize how database design</t>
  </si>
  <si>
    <t>Some queries were difficult at first, but trying different approaches really improved my logic.</t>
  </si>
  <si>
    <t>I studied key database design considerations like security, privacy</t>
  </si>
  <si>
    <t>Working together gave me a better understanding of which data points matter for predictions and they were good</t>
  </si>
  <si>
    <t>Schema Review</t>
  </si>
  <si>
    <t>I reviewed our schema options</t>
  </si>
  <si>
    <t>It helped me understand how AI projects align with business goals</t>
  </si>
  <si>
    <t>It helped me structure the project clearly and match AI features to business goals</t>
  </si>
  <si>
    <t>I learned how to check if an AI project is high-risk and what legal steps it requires</t>
  </si>
  <si>
    <t>Completed task 2.1 by evaluating GDPR and AI act risks for my proposed AI system</t>
  </si>
  <si>
    <t>I just studied infograph part and templates for block C</t>
  </si>
  <si>
    <t>I gained new insights into real-world time series applications</t>
  </si>
  <si>
    <t>I learned how to show patterns trends and changes in time series using simple code</t>
  </si>
  <si>
    <t>I wrote my smarter professional development goal for this block</t>
  </si>
  <si>
    <t>It was challenging at first but coding helped me understand the models more clearly</t>
  </si>
  <si>
    <t>I just explored ARIMA models using python and practiced forecasting</t>
  </si>
  <si>
    <t>I used python to make different graphs for time series data like line plots and boxplots</t>
  </si>
  <si>
    <t>I just attended a guest lecture on time series by juha peltomaki</t>
  </si>
  <si>
    <t>Refined my AI project idea clarified the value proposition, and completed the business model canvas</t>
  </si>
  <si>
    <t>Studied legal and ethical AI frameworks and assessed risk level of my AI system</t>
  </si>
  <si>
    <t>I completed Datacamp course on manipulating time series data in python</t>
  </si>
  <si>
    <t>I was unable to attend the kick off activities due to personal reasons</t>
  </si>
  <si>
    <t>I installed Postgresql and completed practice sql queries using the block D dataset</t>
  </si>
  <si>
    <t>I completed chapter 1 of the Introduction to sql course on Datacamp</t>
  </si>
  <si>
    <t>I explored the move tickers client description and reviewed the provided datasets</t>
  </si>
  <si>
    <t>I studied the basics of data warehouses OLAP vs OLTP and dimensional modeling using the kimball method</t>
  </si>
  <si>
    <t>I practiced using case statements and subqueries on the block D dataset</t>
  </si>
  <si>
    <t>I practiced intermediate sql including date/time functions and window functions on financial data</t>
  </si>
  <si>
    <t>I solved complex sql queries such as rolling averages, lag functions</t>
  </si>
  <si>
    <t>I completed multi level sql exercises, including filtering, math functions</t>
  </si>
  <si>
    <t>I collaborated with my team to explore the dataset and discussed useful features for the ml model</t>
  </si>
  <si>
    <t>I worked with real stock data by resampling it and fixing missing values</t>
  </si>
  <si>
    <t>Trying different methods helped me</t>
  </si>
  <si>
    <t>I used basic forecasting methods like naive and ARIMA</t>
  </si>
  <si>
    <t>I made simple plots to show trends, rolling averages and stock volatility</t>
  </si>
  <si>
    <t>block D introduction</t>
  </si>
  <si>
    <t>sql practice setup</t>
  </si>
  <si>
    <t>datacamp sql</t>
  </si>
  <si>
    <t>client dataset review</t>
  </si>
  <si>
    <t>data warehouses</t>
  </si>
  <si>
    <t>schema design</t>
  </si>
  <si>
    <t>advanced sql practice</t>
  </si>
  <si>
    <t>sql upskilling</t>
  </si>
  <si>
    <t>sql query</t>
  </si>
  <si>
    <t>database design</t>
  </si>
  <si>
    <t>sql exercise</t>
  </si>
  <si>
    <t xml:space="preserve">meeting with my team </t>
  </si>
  <si>
    <t>time series basics</t>
  </si>
  <si>
    <t>AI business model canvas</t>
  </si>
  <si>
    <t xml:space="preserve">legal and ethical AI </t>
  </si>
  <si>
    <t>business model canvas</t>
  </si>
  <si>
    <t xml:space="preserve">legal risk GDPR </t>
  </si>
  <si>
    <t>block C retake</t>
  </si>
  <si>
    <t>guest lecture</t>
  </si>
  <si>
    <t>time series graphs</t>
  </si>
  <si>
    <t xml:space="preserve">smarter goal </t>
  </si>
  <si>
    <t>ARIMA model practice</t>
  </si>
  <si>
    <t>datacamp course</t>
  </si>
  <si>
    <t>time series cleaning</t>
  </si>
  <si>
    <t>time series plots</t>
  </si>
  <si>
    <t>time series forecasting</t>
  </si>
  <si>
    <t xml:space="preserve">I missed the datalab session because I was really sick but I filled absence form and I did all tasks but I missed the review session with my mentor </t>
  </si>
  <si>
    <t>I finished the time series analysis in python course on datacamp and got my certificate</t>
  </si>
  <si>
    <t>Studied the AI business canvas and reviewed project  value data and stakeholder planning</t>
  </si>
  <si>
    <t>time series basics, practiced data visualisation</t>
  </si>
  <si>
    <t>financial time series data applied ARIMA modelling and explored forecasting methods</t>
  </si>
  <si>
    <t>towards the end of the week I wasn't feeling very well</t>
  </si>
  <si>
    <t>no risk and no issues</t>
  </si>
  <si>
    <t>individual project proposal</t>
  </si>
  <si>
    <t>I worked on my individual project proposal and defined the problem, data, and target users.</t>
  </si>
  <si>
    <t>Writing the proposal helped me focus my idea and connect it with real-life use cases.</t>
  </si>
  <si>
    <t xml:space="preserve"> I read online sources about ARIMA and linear regression for time series.</t>
  </si>
  <si>
    <t>ARIMA  and regression</t>
  </si>
  <si>
    <t>I discussed my project idea with a teammate to get feedback.</t>
  </si>
  <si>
    <t xml:space="preserve">Their comments helped me improve my target audience and evaluation strategy.
</t>
  </si>
  <si>
    <t xml:space="preserve"> I wrote a short paragraph explaining why my project idea is useful in real life.</t>
  </si>
  <si>
    <t>I planned how I will build the model step by step for my proposal.</t>
  </si>
  <si>
    <t>Structuring the model workflow made it easier to write the rest of the proposal.</t>
  </si>
  <si>
    <t>ML planning</t>
  </si>
  <si>
    <t xml:space="preserve"> I reviewed the checklist to make sure I included everything required in the proposal.</t>
  </si>
  <si>
    <t>watch lectures</t>
  </si>
  <si>
    <t>Watched videos about AI risk and GDPR basics</t>
  </si>
  <si>
    <t>take notes</t>
  </si>
  <si>
    <t xml:space="preserve"> Took notes during lectures to remember important points</t>
  </si>
  <si>
    <t>I made me realize that simple models can be powerful with the right preprocessing.</t>
  </si>
  <si>
    <t>idea feedback</t>
  </si>
  <si>
    <t>value proposal</t>
  </si>
  <si>
    <t>reviewing deadline checklist</t>
  </si>
  <si>
    <t>read ai act texts</t>
  </si>
  <si>
    <t>Read parts of the EU AI Act related to risk classification</t>
  </si>
  <si>
    <t xml:space="preserve">	Some parts were hard but important</t>
  </si>
  <si>
    <t>practice risk classification</t>
  </si>
  <si>
    <t>Practiced classifying AI systems using AI Act examples</t>
  </si>
  <si>
    <t>Learned to decide if a system is high risk or not</t>
  </si>
  <si>
    <t xml:space="preserve">	join team meetings</t>
  </si>
  <si>
    <t>Attended kickoff meeting to discuss project risks</t>
  </si>
  <si>
    <t>Shared my thoughts with the team</t>
  </si>
  <si>
    <t xml:space="preserve">	practice applying rules</t>
  </si>
  <si>
    <t>Tried to apply GDPR rules to our project example</t>
  </si>
  <si>
    <t>reflect on week</t>
  </si>
  <si>
    <t>Wrote reflections on what I did well and what was hard</t>
  </si>
  <si>
    <t xml:space="preserve">Time Series </t>
  </si>
  <si>
    <t>Learned  and worked about SHAP and LIME explainability methods</t>
  </si>
  <si>
    <t>review individual proposals</t>
  </si>
  <si>
    <t>Read all team members' AI Canvas proposals</t>
  </si>
  <si>
    <t>contribute to data description</t>
  </si>
  <si>
    <t>Wrote about datasets and how they support project goals</t>
  </si>
  <si>
    <t>Helped clarify data sources and their relevance</t>
  </si>
  <si>
    <t>team meeting on proposal</t>
  </si>
  <si>
    <t>Discussed and agreed on unified project problem and objectives</t>
  </si>
  <si>
    <t>Made sure everyone agreed on clear goals</t>
  </si>
  <si>
    <t>write legal risk part</t>
  </si>
  <si>
    <t>Explained how our AI system follows GDPR and AI Act</t>
  </si>
  <si>
    <t xml:space="preserve">	retrospective preparation</t>
  </si>
  <si>
    <t>Prepared notes for group retrospective meeting</t>
  </si>
  <si>
    <t>Reflected on teamwork and project progress</t>
  </si>
  <si>
    <t>attend retrospective</t>
  </si>
  <si>
    <t>Participated in group retrospective session</t>
  </si>
  <si>
    <t>Gave feedback and learned from teammates</t>
  </si>
  <si>
    <t>organize Trello board</t>
  </si>
  <si>
    <t>Updated task statuses and deadlines on Trello board</t>
  </si>
  <si>
    <t>Helped keep team organized and aware of deadlines</t>
  </si>
  <si>
    <t>submit final reports</t>
  </si>
  <si>
    <t>Uploaded final team proposal and legal risk assessment</t>
  </si>
  <si>
    <t>review GDPR guidance</t>
  </si>
  <si>
    <t>Read more on GDPR to better understand compliance requirements</t>
  </si>
  <si>
    <t>plan next week coding tasks</t>
  </si>
  <si>
    <t>Set goals for building the machine learning model</t>
  </si>
  <si>
    <t>Organized priorities for efficient work</t>
  </si>
  <si>
    <t>exploratory data analysis (EDA)</t>
  </si>
  <si>
    <t>Explored datasets using SQL queries to understand data patterns</t>
  </si>
  <si>
    <t>finalize agenda minutes</t>
  </si>
  <si>
    <t>Completed and organized all agenda minutes, placed in correct folders</t>
  </si>
  <si>
    <t>review final deliverables</t>
  </si>
  <si>
    <t>Reviewed all project files and presentation materials with the team</t>
  </si>
  <si>
    <t>Team collaboration ensured completeness</t>
  </si>
  <si>
    <t>update Trello board</t>
  </si>
  <si>
    <t>Updated and checked Trello board for task status and progress</t>
  </si>
  <si>
    <t>prepare presentation slides</t>
  </si>
  <si>
    <t>Prepared my sections focusing on results, linear regression, classification</t>
  </si>
  <si>
    <t>Focused on clear and simple explanations for presentation</t>
  </si>
  <si>
    <t>practice presentation</t>
  </si>
  <si>
    <t>Rehearsed presentation, improved timing and clarity</t>
  </si>
  <si>
    <t>support team fixes</t>
  </si>
  <si>
    <t>Helped teammates with small fixes in presentation and reports</t>
  </si>
  <si>
    <t>Assisted team members to polish final outputs</t>
  </si>
  <si>
    <t>retrospective session</t>
  </si>
  <si>
    <t>Led the group retrospective, gave constructive feedback</t>
  </si>
  <si>
    <t>Reflections helped improve team understanding</t>
  </si>
  <si>
    <t xml:space="preserve">	organize final folders</t>
  </si>
  <si>
    <t>Ensured all files and folders were named and stored properly</t>
  </si>
  <si>
    <t>coordinate final submissions</t>
  </si>
  <si>
    <t xml:space="preserve">Coordinated submission of project deliverables with team </t>
  </si>
  <si>
    <t>daily stand-up participation</t>
  </si>
  <si>
    <t>Attended and contributed actively in daily stand-up meetings</t>
  </si>
  <si>
    <t xml:space="preserve">	manage team tasks</t>
  </si>
  <si>
    <t>Assigned and tracked tasks to keep team on schedule</t>
  </si>
  <si>
    <t>reflect on group experience</t>
  </si>
  <si>
    <t>Thought about teamwork, communication, and leadership lessons</t>
  </si>
  <si>
    <t>Realized the importance of clear communication and collaboration</t>
  </si>
  <si>
    <t xml:space="preserve">	deliver final presentation</t>
  </si>
  <si>
    <t xml:space="preserve">	Presented my part confidently to peers and client</t>
  </si>
  <si>
    <t xml:space="preserve">Train Strikes </t>
  </si>
  <si>
    <t>code documentation</t>
  </si>
  <si>
    <t>added PEP257 style docstrings to key functions</t>
  </si>
  <si>
    <t>Improved code readability and maintainability</t>
  </si>
  <si>
    <t>group documentation collaboration</t>
  </si>
  <si>
    <t>reviewed group’s individual contribution documentation file</t>
  </si>
  <si>
    <t>Checked team member contributions for accuracy</t>
  </si>
  <si>
    <t>group documentation</t>
  </si>
  <si>
    <t>coordinated with team to finalize and agree individual contributions</t>
  </si>
  <si>
    <t>20/5/25</t>
  </si>
  <si>
    <t>21/5/25</t>
  </si>
  <si>
    <t>22/5/25</t>
  </si>
  <si>
    <t>26/5/25</t>
  </si>
  <si>
    <t>27/5/25</t>
  </si>
  <si>
    <t>28/5/25</t>
  </si>
  <si>
    <t>29/5/25</t>
  </si>
  <si>
    <t>30/5/25</t>
  </si>
  <si>
    <t>13/6/25</t>
  </si>
  <si>
    <t>15/6/25</t>
  </si>
  <si>
    <t>16/6/25</t>
  </si>
  <si>
    <t>17/6/25</t>
  </si>
  <si>
    <t>18/6/25</t>
  </si>
  <si>
    <t>19/6/25</t>
  </si>
  <si>
    <t>20/6/25</t>
  </si>
  <si>
    <t>1) workignon model    2)creating the notebook      3)connecting to database</t>
  </si>
  <si>
    <t>Being so sleepy and i had also some error about my pythin version.</t>
  </si>
  <si>
    <t>Standup</t>
  </si>
  <si>
    <t>working on the model</t>
  </si>
  <si>
    <t xml:space="preserve">Standup </t>
  </si>
  <si>
    <t>Trying diffrent model</t>
  </si>
  <si>
    <t>Sql week 1</t>
  </si>
  <si>
    <t>Workingon the model</t>
  </si>
  <si>
    <t xml:space="preserve">Model improvement </t>
  </si>
  <si>
    <t>Testing model</t>
  </si>
  <si>
    <t>We had a stand-up meeting with our group members to review our plans and tasks for the upcoming week.</t>
  </si>
  <si>
    <t>There have been some changes in Trello.</t>
  </si>
  <si>
    <t>I tried several models, including regression, MLO, XGBoost, and a few others.</t>
  </si>
  <si>
    <t>The results are good, but I need to discuss them with my group members tomorrow.</t>
  </si>
  <si>
    <t>I went through the model again and trained other models to compare their results.</t>
  </si>
  <si>
    <t>The clustering also performed well!</t>
  </si>
  <si>
    <t>I worked on the SQL tasks from Week 1 again to finalize them and document the evidence in Learning Log Section C</t>
  </si>
  <si>
    <t>I documented the evidence in the learning log, and I will review it again at the end of the block.</t>
  </si>
  <si>
    <t>We had a stand-up meeting to review what remains to be done and what we did wrong.</t>
  </si>
  <si>
    <t>We discussed the work we’re currently doing. We've finished almost everything—just a few tasks still need to be discussed.</t>
  </si>
  <si>
    <t>I worked on the model, tried some models again, and evaluated their performance.</t>
  </si>
  <si>
    <t>We had the last stand-up of the week and discussed what still needs to be done and what can be left out.</t>
  </si>
  <si>
    <t>I'm still working on the model deployment, and it still needs some improvements.</t>
  </si>
  <si>
    <t>I will talk to Filip about this model.</t>
  </si>
  <si>
    <t>Today, I also spent some time testing the models and checking the accuracy of each one.</t>
  </si>
  <si>
    <t>It needs to be discussed.</t>
  </si>
  <si>
    <t xml:space="preserve">1) Finish with the modeling       </t>
  </si>
  <si>
    <t>Working on the model</t>
  </si>
  <si>
    <t>Stand up</t>
  </si>
  <si>
    <t>Workig on the model</t>
  </si>
  <si>
    <t>MLOps</t>
  </si>
  <si>
    <t>Filing the Templates</t>
  </si>
  <si>
    <t>i work on the model and and try to evalute and again see what can i do with it.</t>
  </si>
  <si>
    <t>It still needs work.</t>
  </si>
  <si>
    <t>We had a stand-up meeting to discuss the direction of the project.</t>
  </si>
  <si>
    <t>the regression part still need some work.</t>
  </si>
  <si>
    <t>i fill in the templates.</t>
  </si>
  <si>
    <t>i worked on the model versions and model and performance development.</t>
  </si>
  <si>
    <t>still need some work.</t>
  </si>
  <si>
    <t>the model versions has some difficulties.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</si>
</sst>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3"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i/>
      <sz val="10"/>
      <color rgb="FF000000"/>
      <name val="Calibri"/>
      <family val="2"/>
    </font>
    <font>
      <b/>
      <sz val="10"/>
      <name val="Arial"/>
      <family val="2"/>
    </font>
    <font>
      <sz val="8"/>
      <name val="Calibri"/>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81">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4" fillId="8" borderId="1" xfId="0" applyFont="1" applyFill="1" applyBorder="1" applyAlignment="1">
      <alignment vertical="center" wrapText="1"/>
    </xf>
    <xf numFmtId="0" fontId="8" fillId="0" borderId="0" xfId="0" applyFont="1" applyAlignment="1">
      <alignmen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8" fillId="14" borderId="7" xfId="0" applyFont="1" applyFill="1" applyBorder="1" applyAlignment="1">
      <alignment horizontal="right" vertical="top"/>
    </xf>
    <xf numFmtId="0" fontId="5" fillId="14" borderId="0" xfId="0" applyFont="1" applyFill="1" applyAlignment="1">
      <alignment horizontal="right"/>
    </xf>
    <xf numFmtId="0" fontId="12" fillId="0" borderId="0" xfId="0" applyFont="1" applyAlignment="1">
      <alignment vertical="center"/>
    </xf>
    <xf numFmtId="0" fontId="12" fillId="0" borderId="0" xfId="0" applyFont="1" applyAlignment="1">
      <alignment horizontal="center" vertical="top"/>
    </xf>
    <xf numFmtId="0" fontId="12" fillId="0" borderId="0" xfId="0" applyFont="1" applyAlignment="1">
      <alignment horizontal="center" vertical="center"/>
    </xf>
    <xf numFmtId="0" fontId="12" fillId="0" borderId="0" xfId="0" applyFont="1" applyAlignment="1">
      <alignment vertical="center" wrapText="1"/>
    </xf>
    <xf numFmtId="0" fontId="9" fillId="0" borderId="0" xfId="0" applyFont="1" applyAlignment="1">
      <alignment vertical="center"/>
    </xf>
    <xf numFmtId="0" fontId="12" fillId="0" borderId="7" xfId="0" applyFont="1" applyBorder="1" applyAlignment="1">
      <alignment horizontal="center" vertical="center"/>
    </xf>
    <xf numFmtId="164" fontId="12" fillId="0" borderId="0" xfId="0" applyNumberFormat="1" applyFont="1" applyAlignment="1">
      <alignment horizontal="center" vertical="center"/>
    </xf>
    <xf numFmtId="0" fontId="12" fillId="0" borderId="0" xfId="0" applyFont="1" applyAlignment="1">
      <alignment horizontal="left" vertical="center"/>
    </xf>
    <xf numFmtId="166" fontId="12" fillId="0" borderId="0" xfId="0" applyNumberFormat="1"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vertical="top" wrapText="1"/>
    </xf>
    <xf numFmtId="0" fontId="8" fillId="0" borderId="0" xfId="0" applyFont="1" applyAlignment="1">
      <alignment horizontal="center" vertical="center"/>
    </xf>
    <xf numFmtId="0" fontId="8" fillId="0" borderId="7" xfId="0" applyFont="1" applyBorder="1" applyAlignment="1">
      <alignment horizontal="center" vertical="center"/>
    </xf>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horizontal="left" vertical="center" wrapText="1"/>
    </xf>
    <xf numFmtId="0" fontId="5" fillId="0" borderId="2" xfId="0" applyFont="1" applyBorder="1" applyAlignment="1">
      <alignment horizontal="left" vertical="center"/>
    </xf>
    <xf numFmtId="0" fontId="5" fillId="0" borderId="6" xfId="0" applyFont="1" applyBorder="1" applyAlignment="1">
      <alignment horizontal="left" vertical="center"/>
    </xf>
    <xf numFmtId="0" fontId="7" fillId="3" borderId="5" xfId="0" applyFont="1" applyFill="1" applyBorder="1" applyAlignment="1">
      <alignment vertical="center"/>
    </xf>
    <xf numFmtId="0" fontId="5" fillId="0" borderId="2" xfId="0" applyFont="1" applyBorder="1"/>
    <xf numFmtId="0" fontId="5" fillId="0" borderId="6"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7" fillId="13" borderId="5"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5" fillId="7" borderId="0" xfId="0" applyFont="1" applyFill="1" applyAlignment="1">
      <alignment horizontal="center" vertical="center" wrapText="1"/>
    </xf>
    <xf numFmtId="0" fontId="10" fillId="6" borderId="0" xfId="0" applyFont="1" applyFill="1" applyAlignment="1">
      <alignment vertical="top" wrapText="1"/>
    </xf>
    <xf numFmtId="0" fontId="0" fillId="0" borderId="0" xfId="0"/>
    <xf numFmtId="0" fontId="7" fillId="12" borderId="5" xfId="0" applyFont="1" applyFill="1" applyBorder="1" applyAlignment="1">
      <alignment vertical="center" wrapText="1"/>
    </xf>
  </cellXfs>
  <cellStyles count="1">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121"/>
  <sheetViews>
    <sheetView tabSelected="1" zoomScale="103" zoomScaleNormal="227" workbookViewId="0">
      <pane ySplit="1" topLeftCell="A2" activePane="bottomLeft" state="frozen"/>
      <selection pane="bottomLeft" activeCell="B72" sqref="B72:J72"/>
    </sheetView>
  </sheetViews>
  <sheetFormatPr baseColWidth="10" defaultColWidth="14.5" defaultRowHeight="15" customHeight="1" x14ac:dyDescent="0.15"/>
  <cols>
    <col min="1" max="1" width="9.83203125" customWidth="1"/>
    <col min="2" max="2" width="11.33203125" customWidth="1"/>
    <col min="3" max="3" width="16.33203125" customWidth="1"/>
    <col min="4" max="4" width="65.83203125" customWidth="1"/>
    <col min="5" max="6" width="15.5" customWidth="1"/>
    <col min="7" max="7" width="8.6640625" customWidth="1"/>
    <col min="8" max="8" width="8.5" customWidth="1"/>
    <col min="9" max="9" width="6.5" customWidth="1"/>
    <col min="10" max="10" width="55.6640625" customWidth="1"/>
  </cols>
  <sheetData>
    <row r="1" spans="1:10" ht="26" x14ac:dyDescent="0.15">
      <c r="A1" s="3" t="s">
        <v>0</v>
      </c>
      <c r="B1" s="3" t="s">
        <v>1</v>
      </c>
      <c r="C1" s="3" t="s">
        <v>2</v>
      </c>
      <c r="D1" s="3" t="s">
        <v>3</v>
      </c>
      <c r="E1" s="5" t="s">
        <v>4</v>
      </c>
      <c r="F1" s="5" t="s">
        <v>5</v>
      </c>
      <c r="G1" s="5" t="s">
        <v>6</v>
      </c>
      <c r="H1" s="5" t="s">
        <v>7</v>
      </c>
      <c r="I1" s="5" t="s">
        <v>8</v>
      </c>
      <c r="J1" s="3" t="s">
        <v>9</v>
      </c>
    </row>
    <row r="2" spans="1:10" ht="18.75" customHeight="1" x14ac:dyDescent="0.15">
      <c r="A2" s="57" t="s">
        <v>10</v>
      </c>
      <c r="B2" s="58"/>
      <c r="C2" s="58"/>
      <c r="D2" s="58"/>
      <c r="E2" s="58"/>
      <c r="F2" s="58"/>
      <c r="G2" s="58"/>
      <c r="H2" s="58"/>
      <c r="I2" s="58"/>
      <c r="J2" s="58"/>
    </row>
    <row r="3" spans="1:10" ht="13" x14ac:dyDescent="0.15">
      <c r="A3" s="7" t="s">
        <v>11</v>
      </c>
      <c r="B3" s="59" t="s">
        <v>136</v>
      </c>
      <c r="C3" s="60"/>
      <c r="D3" s="60"/>
      <c r="E3" s="60"/>
      <c r="F3" s="60"/>
      <c r="G3" s="60"/>
      <c r="H3" s="60"/>
      <c r="I3" s="60"/>
      <c r="J3" s="61"/>
    </row>
    <row r="4" spans="1:10" ht="27.75" customHeight="1" x14ac:dyDescent="0.15">
      <c r="A4" s="10" t="s">
        <v>13</v>
      </c>
      <c r="B4" s="62" t="s">
        <v>139</v>
      </c>
      <c r="C4" s="63"/>
      <c r="D4" s="63"/>
      <c r="E4" s="63"/>
      <c r="F4" s="63"/>
      <c r="G4" s="63"/>
      <c r="H4" s="63"/>
      <c r="I4" s="63"/>
      <c r="J4" s="64"/>
    </row>
    <row r="5" spans="1:10" ht="13" x14ac:dyDescent="0.15">
      <c r="A5" s="50">
        <v>45783</v>
      </c>
      <c r="B5" s="25" t="s">
        <v>46</v>
      </c>
      <c r="C5" s="48" t="s">
        <v>107</v>
      </c>
      <c r="D5" s="44" t="s">
        <v>93</v>
      </c>
      <c r="E5" s="46" t="s">
        <v>40</v>
      </c>
      <c r="F5" s="45" t="s">
        <v>63</v>
      </c>
      <c r="G5" s="46">
        <v>1</v>
      </c>
      <c r="H5" s="46">
        <v>1</v>
      </c>
      <c r="I5" s="46">
        <f t="shared" ref="I5:I18" si="0">H5-G5</f>
        <v>0</v>
      </c>
      <c r="J5" s="47" t="s">
        <v>66</v>
      </c>
    </row>
    <row r="6" spans="1:10" ht="13" x14ac:dyDescent="0.15">
      <c r="A6" s="50"/>
      <c r="B6" s="25" t="s">
        <v>46</v>
      </c>
      <c r="C6" s="48" t="s">
        <v>108</v>
      </c>
      <c r="D6" s="44" t="s">
        <v>94</v>
      </c>
      <c r="E6" s="46" t="s">
        <v>55</v>
      </c>
      <c r="F6" s="45" t="s">
        <v>63</v>
      </c>
      <c r="G6" s="46">
        <v>5</v>
      </c>
      <c r="H6" s="46">
        <v>5</v>
      </c>
      <c r="I6" s="46">
        <f t="shared" si="0"/>
        <v>0</v>
      </c>
      <c r="J6" s="54" t="s">
        <v>67</v>
      </c>
    </row>
    <row r="7" spans="1:10" ht="13" x14ac:dyDescent="0.15">
      <c r="A7" s="50"/>
      <c r="B7" s="25" t="s">
        <v>46</v>
      </c>
      <c r="C7" s="48" t="s">
        <v>109</v>
      </c>
      <c r="D7" s="44" t="s">
        <v>95</v>
      </c>
      <c r="E7" s="46" t="s">
        <v>55</v>
      </c>
      <c r="F7" s="45" t="s">
        <v>63</v>
      </c>
      <c r="G7" s="46">
        <v>5</v>
      </c>
      <c r="H7" s="46">
        <v>5</v>
      </c>
      <c r="I7" s="46">
        <f t="shared" si="0"/>
        <v>0</v>
      </c>
      <c r="J7" s="47" t="s">
        <v>68</v>
      </c>
    </row>
    <row r="8" spans="1:10" ht="13" x14ac:dyDescent="0.15">
      <c r="A8" s="50"/>
      <c r="B8" s="25" t="s">
        <v>46</v>
      </c>
      <c r="C8" s="48" t="s">
        <v>110</v>
      </c>
      <c r="D8" s="44" t="s">
        <v>96</v>
      </c>
      <c r="E8" s="46" t="s">
        <v>45</v>
      </c>
      <c r="F8" s="45" t="s">
        <v>63</v>
      </c>
      <c r="G8" s="46">
        <v>0.5</v>
      </c>
      <c r="H8" s="46">
        <v>0.5</v>
      </c>
      <c r="I8" s="46">
        <f t="shared" si="0"/>
        <v>0</v>
      </c>
      <c r="J8" s="47" t="s">
        <v>69</v>
      </c>
    </row>
    <row r="9" spans="1:10" ht="13" x14ac:dyDescent="0.15">
      <c r="A9" s="50">
        <v>45784</v>
      </c>
      <c r="B9" s="25" t="s">
        <v>46</v>
      </c>
      <c r="C9" s="48" t="s">
        <v>111</v>
      </c>
      <c r="D9" s="44" t="s">
        <v>97</v>
      </c>
      <c r="E9" s="46" t="s">
        <v>55</v>
      </c>
      <c r="F9" s="45" t="s">
        <v>63</v>
      </c>
      <c r="G9" s="46">
        <v>3</v>
      </c>
      <c r="H9" s="46">
        <v>3</v>
      </c>
      <c r="I9" s="46">
        <f t="shared" si="0"/>
        <v>0</v>
      </c>
      <c r="J9" s="47"/>
    </row>
    <row r="10" spans="1:10" ht="13" x14ac:dyDescent="0.15">
      <c r="A10" s="50"/>
      <c r="B10" s="25" t="s">
        <v>46</v>
      </c>
      <c r="C10" s="48" t="s">
        <v>112</v>
      </c>
      <c r="D10" s="44" t="s">
        <v>70</v>
      </c>
      <c r="E10" s="46" t="s">
        <v>55</v>
      </c>
      <c r="F10" s="45" t="s">
        <v>63</v>
      </c>
      <c r="G10" s="46">
        <v>0.5</v>
      </c>
      <c r="H10" s="46">
        <v>0.5</v>
      </c>
      <c r="I10" s="46">
        <f t="shared" si="0"/>
        <v>0</v>
      </c>
      <c r="J10" s="47" t="s">
        <v>72</v>
      </c>
    </row>
    <row r="11" spans="1:10" ht="13" x14ac:dyDescent="0.15">
      <c r="A11" s="50"/>
      <c r="B11" s="25" t="s">
        <v>46</v>
      </c>
      <c r="C11" s="48" t="s">
        <v>113</v>
      </c>
      <c r="D11" s="44" t="s">
        <v>98</v>
      </c>
      <c r="E11" s="46" t="s">
        <v>43</v>
      </c>
      <c r="F11" s="45" t="s">
        <v>63</v>
      </c>
      <c r="G11" s="46">
        <v>5</v>
      </c>
      <c r="H11" s="46">
        <v>5</v>
      </c>
      <c r="I11" s="46">
        <f t="shared" si="0"/>
        <v>0</v>
      </c>
      <c r="J11" s="47" t="s">
        <v>71</v>
      </c>
    </row>
    <row r="12" spans="1:10" ht="13" x14ac:dyDescent="0.15">
      <c r="A12" s="50">
        <v>45785</v>
      </c>
      <c r="B12" s="25" t="s">
        <v>46</v>
      </c>
      <c r="C12" s="48" t="s">
        <v>114</v>
      </c>
      <c r="D12" s="44" t="s">
        <v>99</v>
      </c>
      <c r="E12" s="46" t="s">
        <v>43</v>
      </c>
      <c r="F12" s="45" t="s">
        <v>63</v>
      </c>
      <c r="G12" s="46">
        <v>5</v>
      </c>
      <c r="H12" s="46">
        <v>5</v>
      </c>
      <c r="I12" s="46">
        <f t="shared" si="0"/>
        <v>0</v>
      </c>
      <c r="J12" s="47"/>
    </row>
    <row r="13" spans="1:10" ht="13" x14ac:dyDescent="0.15">
      <c r="A13" s="50"/>
      <c r="B13" s="25" t="s">
        <v>46</v>
      </c>
      <c r="C13" s="48" t="s">
        <v>115</v>
      </c>
      <c r="D13" s="44" t="s">
        <v>100</v>
      </c>
      <c r="E13" s="46" t="s">
        <v>43</v>
      </c>
      <c r="F13" s="45" t="s">
        <v>63</v>
      </c>
      <c r="G13" s="46">
        <v>5</v>
      </c>
      <c r="H13" s="46">
        <v>5</v>
      </c>
      <c r="I13" s="46">
        <f t="shared" si="0"/>
        <v>0</v>
      </c>
      <c r="J13" s="47" t="s">
        <v>73</v>
      </c>
    </row>
    <row r="14" spans="1:10" ht="13" x14ac:dyDescent="0.15">
      <c r="A14" s="50"/>
      <c r="B14" s="25" t="s">
        <v>46</v>
      </c>
      <c r="C14" s="48" t="s">
        <v>116</v>
      </c>
      <c r="D14" s="44" t="s">
        <v>74</v>
      </c>
      <c r="E14" s="46" t="s">
        <v>45</v>
      </c>
      <c r="F14" s="45" t="s">
        <v>63</v>
      </c>
      <c r="G14" s="46">
        <v>1</v>
      </c>
      <c r="H14" s="46">
        <v>1.5</v>
      </c>
      <c r="I14" s="46">
        <f t="shared" si="0"/>
        <v>0.5</v>
      </c>
      <c r="J14" s="47"/>
    </row>
    <row r="15" spans="1:10" ht="13" x14ac:dyDescent="0.15">
      <c r="A15" s="50">
        <v>45786</v>
      </c>
      <c r="B15" s="25" t="s">
        <v>46</v>
      </c>
      <c r="C15" s="48" t="s">
        <v>117</v>
      </c>
      <c r="D15" s="44" t="s">
        <v>101</v>
      </c>
      <c r="E15" s="46" t="s">
        <v>43</v>
      </c>
      <c r="F15" s="45" t="s">
        <v>63</v>
      </c>
      <c r="G15" s="46">
        <v>3</v>
      </c>
      <c r="H15" s="46">
        <v>4</v>
      </c>
      <c r="I15" s="46">
        <f t="shared" si="0"/>
        <v>1</v>
      </c>
      <c r="J15" s="47"/>
    </row>
    <row r="16" spans="1:10" ht="24" x14ac:dyDescent="0.15">
      <c r="A16" s="50"/>
      <c r="B16" s="25" t="s">
        <v>46</v>
      </c>
      <c r="C16" s="48" t="s">
        <v>118</v>
      </c>
      <c r="D16" s="44" t="s">
        <v>102</v>
      </c>
      <c r="E16" s="46" t="s">
        <v>41</v>
      </c>
      <c r="F16" s="45" t="s">
        <v>63</v>
      </c>
      <c r="G16" s="46">
        <v>1</v>
      </c>
      <c r="H16" s="46">
        <v>1</v>
      </c>
      <c r="I16" s="46">
        <f t="shared" si="0"/>
        <v>0</v>
      </c>
      <c r="J16" s="53" t="s">
        <v>75</v>
      </c>
    </row>
    <row r="17" spans="1:10" ht="13" x14ac:dyDescent="0.15">
      <c r="A17" s="50"/>
      <c r="B17" s="25" t="s">
        <v>46</v>
      </c>
      <c r="C17" s="48" t="s">
        <v>76</v>
      </c>
      <c r="D17" s="44" t="s">
        <v>77</v>
      </c>
      <c r="E17" s="46" t="s">
        <v>51</v>
      </c>
      <c r="F17" s="45" t="s">
        <v>63</v>
      </c>
      <c r="G17" s="46">
        <v>6</v>
      </c>
      <c r="H17" s="46">
        <v>4</v>
      </c>
      <c r="I17" s="46">
        <f t="shared" si="0"/>
        <v>-2</v>
      </c>
      <c r="J17" s="15"/>
    </row>
    <row r="18" spans="1:10" ht="13" x14ac:dyDescent="0.15">
      <c r="A18" s="18"/>
      <c r="B18" s="20"/>
      <c r="C18" s="20"/>
      <c r="D18" s="20"/>
      <c r="E18" s="49" t="s">
        <v>15</v>
      </c>
      <c r="F18" s="20"/>
      <c r="G18" s="49">
        <f>SUM(G5:G17)</f>
        <v>41</v>
      </c>
      <c r="H18" s="49">
        <f>SUM(H5:H17)</f>
        <v>40.5</v>
      </c>
      <c r="I18" s="49">
        <f t="shared" si="0"/>
        <v>-0.5</v>
      </c>
      <c r="J18" s="20"/>
    </row>
    <row r="19" spans="1:10" ht="18.75" customHeight="1" x14ac:dyDescent="0.15">
      <c r="A19" s="65" t="s">
        <v>16</v>
      </c>
      <c r="B19" s="58"/>
      <c r="C19" s="58"/>
      <c r="D19" s="58"/>
      <c r="E19" s="58"/>
      <c r="F19" s="58"/>
      <c r="G19" s="58"/>
      <c r="H19" s="58"/>
      <c r="I19" s="58"/>
      <c r="J19" s="58"/>
    </row>
    <row r="20" spans="1:10" ht="13" x14ac:dyDescent="0.15">
      <c r="A20" s="41" t="s">
        <v>11</v>
      </c>
      <c r="B20" s="66" t="s">
        <v>137</v>
      </c>
      <c r="C20" s="63"/>
      <c r="D20" s="63"/>
      <c r="E20" s="63"/>
      <c r="F20" s="63"/>
      <c r="G20" s="63"/>
      <c r="H20" s="63"/>
      <c r="I20" s="63"/>
      <c r="J20" s="64"/>
    </row>
    <row r="21" spans="1:10" ht="27.75" customHeight="1" x14ac:dyDescent="0.15">
      <c r="A21" s="24" t="s">
        <v>13</v>
      </c>
      <c r="B21" s="66" t="s">
        <v>138</v>
      </c>
      <c r="C21" s="63"/>
      <c r="D21" s="63"/>
      <c r="E21" s="63"/>
      <c r="F21" s="63"/>
      <c r="G21" s="63"/>
      <c r="H21" s="63"/>
      <c r="I21" s="63"/>
      <c r="J21" s="64"/>
    </row>
    <row r="22" spans="1:10" ht="13" x14ac:dyDescent="0.15">
      <c r="A22" s="52">
        <v>45789</v>
      </c>
      <c r="B22" s="25" t="s">
        <v>46</v>
      </c>
      <c r="C22" s="48" t="s">
        <v>119</v>
      </c>
      <c r="D22" s="44" t="s">
        <v>92</v>
      </c>
      <c r="E22" s="46" t="s">
        <v>55</v>
      </c>
      <c r="F22" s="13" t="s">
        <v>59</v>
      </c>
      <c r="G22" s="46">
        <v>2</v>
      </c>
      <c r="H22" s="46">
        <v>2</v>
      </c>
      <c r="I22" s="46">
        <f t="shared" ref="I22:I37" si="1">H22-G22</f>
        <v>0</v>
      </c>
      <c r="J22" s="51"/>
    </row>
    <row r="23" spans="1:10" ht="13" x14ac:dyDescent="0.15">
      <c r="A23" s="52"/>
      <c r="B23" s="25" t="s">
        <v>46</v>
      </c>
      <c r="C23" s="48" t="s">
        <v>120</v>
      </c>
      <c r="D23" s="44" t="s">
        <v>135</v>
      </c>
      <c r="E23" s="46" t="s">
        <v>55</v>
      </c>
      <c r="F23" s="13" t="s">
        <v>61</v>
      </c>
      <c r="G23" s="46">
        <v>4</v>
      </c>
      <c r="H23" s="46">
        <v>4</v>
      </c>
      <c r="I23" s="46">
        <f t="shared" si="1"/>
        <v>0</v>
      </c>
      <c r="J23" s="51" t="s">
        <v>78</v>
      </c>
    </row>
    <row r="24" spans="1:10" ht="13" x14ac:dyDescent="0.15">
      <c r="A24" s="52"/>
      <c r="B24" s="25" t="s">
        <v>46</v>
      </c>
      <c r="C24" s="48" t="s">
        <v>121</v>
      </c>
      <c r="D24" s="44" t="s">
        <v>91</v>
      </c>
      <c r="E24" s="46" t="s">
        <v>45</v>
      </c>
      <c r="F24" s="13" t="s">
        <v>60</v>
      </c>
      <c r="G24" s="46">
        <v>1.5</v>
      </c>
      <c r="H24" s="46">
        <v>2</v>
      </c>
      <c r="I24" s="46">
        <f t="shared" si="1"/>
        <v>0.5</v>
      </c>
      <c r="J24" s="51" t="s">
        <v>79</v>
      </c>
    </row>
    <row r="25" spans="1:10" ht="13" x14ac:dyDescent="0.15">
      <c r="A25" s="52">
        <v>45790</v>
      </c>
      <c r="B25" s="25" t="s">
        <v>46</v>
      </c>
      <c r="C25" s="48" t="s">
        <v>122</v>
      </c>
      <c r="D25" s="44" t="s">
        <v>90</v>
      </c>
      <c r="E25" s="46" t="s">
        <v>55</v>
      </c>
      <c r="F25" s="13" t="s">
        <v>59</v>
      </c>
      <c r="G25" s="46">
        <v>3</v>
      </c>
      <c r="H25" s="46">
        <v>3</v>
      </c>
      <c r="I25" s="46">
        <f t="shared" si="1"/>
        <v>0</v>
      </c>
      <c r="J25" s="51"/>
    </row>
    <row r="26" spans="1:10" ht="13" x14ac:dyDescent="0.15">
      <c r="A26" s="52"/>
      <c r="B26" s="25" t="s">
        <v>46</v>
      </c>
      <c r="C26" s="48" t="s">
        <v>123</v>
      </c>
      <c r="D26" s="44" t="s">
        <v>81</v>
      </c>
      <c r="E26" s="46" t="s">
        <v>55</v>
      </c>
      <c r="F26" s="13" t="s">
        <v>61</v>
      </c>
      <c r="G26" s="46">
        <v>3</v>
      </c>
      <c r="H26" s="46">
        <v>3</v>
      </c>
      <c r="I26" s="46">
        <f t="shared" si="1"/>
        <v>0</v>
      </c>
      <c r="J26" s="51" t="s">
        <v>80</v>
      </c>
    </row>
    <row r="27" spans="1:10" ht="13" x14ac:dyDescent="0.15">
      <c r="A27" s="52"/>
      <c r="B27" s="25" t="s">
        <v>48</v>
      </c>
      <c r="C27" s="48"/>
      <c r="D27" s="44"/>
      <c r="E27" s="46"/>
      <c r="F27" s="13" t="s">
        <v>60</v>
      </c>
      <c r="G27" s="46"/>
      <c r="H27" s="46"/>
      <c r="I27" s="46"/>
      <c r="J27" s="51"/>
    </row>
    <row r="28" spans="1:10" ht="13" x14ac:dyDescent="0.15">
      <c r="A28" s="52"/>
      <c r="B28" s="25" t="s">
        <v>46</v>
      </c>
      <c r="C28" s="48" t="s">
        <v>124</v>
      </c>
      <c r="D28" s="44" t="s">
        <v>82</v>
      </c>
      <c r="E28" s="46" t="s">
        <v>55</v>
      </c>
      <c r="F28" s="13" t="s">
        <v>61</v>
      </c>
      <c r="G28" s="46">
        <v>3</v>
      </c>
      <c r="H28" s="46">
        <v>4</v>
      </c>
      <c r="I28" s="46">
        <f t="shared" si="1"/>
        <v>1</v>
      </c>
      <c r="J28" s="51"/>
    </row>
    <row r="29" spans="1:10" ht="13" x14ac:dyDescent="0.15">
      <c r="A29" s="52"/>
      <c r="B29" s="25" t="s">
        <v>46</v>
      </c>
      <c r="C29" s="48" t="s">
        <v>125</v>
      </c>
      <c r="D29" s="44" t="s">
        <v>89</v>
      </c>
      <c r="E29" s="46" t="s">
        <v>54</v>
      </c>
      <c r="F29" s="13" t="s">
        <v>64</v>
      </c>
      <c r="G29" s="46">
        <v>4</v>
      </c>
      <c r="H29" s="46">
        <v>4</v>
      </c>
      <c r="I29" s="46">
        <f t="shared" si="1"/>
        <v>0</v>
      </c>
      <c r="J29" s="51" t="s">
        <v>83</v>
      </c>
    </row>
    <row r="30" spans="1:10" ht="13" x14ac:dyDescent="0.15">
      <c r="A30" s="52">
        <v>45791</v>
      </c>
      <c r="B30" s="25" t="s">
        <v>46</v>
      </c>
      <c r="C30" s="48" t="s">
        <v>126</v>
      </c>
      <c r="D30" s="44" t="s">
        <v>88</v>
      </c>
      <c r="E30" s="46" t="s">
        <v>55</v>
      </c>
      <c r="F30" s="13" t="s">
        <v>60</v>
      </c>
      <c r="G30" s="46">
        <v>2</v>
      </c>
      <c r="H30" s="46">
        <v>2</v>
      </c>
      <c r="I30" s="46">
        <f t="shared" si="1"/>
        <v>0</v>
      </c>
      <c r="J30" s="51" t="s">
        <v>84</v>
      </c>
    </row>
    <row r="31" spans="1:10" ht="13" x14ac:dyDescent="0.15">
      <c r="A31" s="52"/>
      <c r="B31" s="25" t="s">
        <v>46</v>
      </c>
      <c r="C31" s="48" t="s">
        <v>127</v>
      </c>
      <c r="D31" s="44" t="s">
        <v>85</v>
      </c>
      <c r="E31" s="46" t="s">
        <v>55</v>
      </c>
      <c r="F31" s="13" t="s">
        <v>63</v>
      </c>
      <c r="G31" s="46">
        <v>5</v>
      </c>
      <c r="H31" s="46">
        <v>5</v>
      </c>
      <c r="I31" s="46">
        <f t="shared" si="1"/>
        <v>0</v>
      </c>
      <c r="J31" s="51"/>
    </row>
    <row r="32" spans="1:10" ht="13" x14ac:dyDescent="0.15">
      <c r="A32" s="52">
        <v>45792</v>
      </c>
      <c r="B32" s="25" t="s">
        <v>46</v>
      </c>
      <c r="C32" s="48" t="s">
        <v>128</v>
      </c>
      <c r="D32" s="44" t="s">
        <v>87</v>
      </c>
      <c r="E32" s="46" t="s">
        <v>55</v>
      </c>
      <c r="F32" s="13" t="s">
        <v>63</v>
      </c>
      <c r="G32" s="46">
        <v>1.5</v>
      </c>
      <c r="H32" s="46">
        <v>3</v>
      </c>
      <c r="I32" s="46">
        <f t="shared" si="1"/>
        <v>1.5</v>
      </c>
      <c r="J32" s="51" t="s">
        <v>86</v>
      </c>
    </row>
    <row r="33" spans="1:10" ht="13" x14ac:dyDescent="0.15">
      <c r="A33" s="52"/>
      <c r="B33" s="25" t="s">
        <v>46</v>
      </c>
      <c r="C33" s="48" t="s">
        <v>129</v>
      </c>
      <c r="D33" s="44" t="s">
        <v>134</v>
      </c>
      <c r="E33" s="46" t="s">
        <v>55</v>
      </c>
      <c r="F33" s="13" t="s">
        <v>65</v>
      </c>
      <c r="G33" s="46">
        <v>2</v>
      </c>
      <c r="H33" s="46">
        <v>4</v>
      </c>
      <c r="I33" s="46">
        <f t="shared" si="1"/>
        <v>2</v>
      </c>
      <c r="J33" s="51"/>
    </row>
    <row r="34" spans="1:10" ht="24" x14ac:dyDescent="0.15">
      <c r="A34" s="52">
        <v>45793</v>
      </c>
      <c r="B34" s="25" t="s">
        <v>40</v>
      </c>
      <c r="C34" s="48" t="s">
        <v>130</v>
      </c>
      <c r="D34" s="44" t="s">
        <v>103</v>
      </c>
      <c r="E34" s="46" t="s">
        <v>45</v>
      </c>
      <c r="F34" s="13" t="s">
        <v>61</v>
      </c>
      <c r="G34" s="46">
        <v>2</v>
      </c>
      <c r="H34" s="46">
        <v>1.5</v>
      </c>
      <c r="I34" s="46">
        <f t="shared" si="1"/>
        <v>-0.5</v>
      </c>
      <c r="J34" s="53" t="s">
        <v>133</v>
      </c>
    </row>
    <row r="35" spans="1:10" ht="13" x14ac:dyDescent="0.15">
      <c r="A35" s="52"/>
      <c r="B35" s="25" t="s">
        <v>46</v>
      </c>
      <c r="C35" s="48" t="s">
        <v>131</v>
      </c>
      <c r="D35" s="44" t="s">
        <v>106</v>
      </c>
      <c r="E35" s="46" t="s">
        <v>55</v>
      </c>
      <c r="F35" s="13" t="s">
        <v>62</v>
      </c>
      <c r="G35" s="46">
        <v>4</v>
      </c>
      <c r="H35" s="46">
        <v>4</v>
      </c>
      <c r="I35" s="46">
        <f t="shared" si="1"/>
        <v>0</v>
      </c>
      <c r="J35" s="51"/>
    </row>
    <row r="36" spans="1:10" ht="13" x14ac:dyDescent="0.15">
      <c r="A36" s="52"/>
      <c r="B36" s="25" t="s">
        <v>46</v>
      </c>
      <c r="C36" s="48" t="s">
        <v>132</v>
      </c>
      <c r="D36" s="44" t="s">
        <v>105</v>
      </c>
      <c r="E36" s="46" t="s">
        <v>55</v>
      </c>
      <c r="F36" s="13" t="s">
        <v>65</v>
      </c>
      <c r="G36" s="46">
        <v>5</v>
      </c>
      <c r="H36" s="46">
        <v>5</v>
      </c>
      <c r="I36" s="46">
        <f t="shared" si="1"/>
        <v>0</v>
      </c>
      <c r="J36" s="51" t="s">
        <v>104</v>
      </c>
    </row>
    <row r="37" spans="1:10" ht="13" x14ac:dyDescent="0.15">
      <c r="A37" s="18"/>
      <c r="B37" s="20"/>
      <c r="C37" s="20"/>
      <c r="D37" s="20"/>
      <c r="E37" s="49" t="s">
        <v>15</v>
      </c>
      <c r="F37" s="20"/>
      <c r="G37" s="49">
        <f>SUM(G20:G36)</f>
        <v>42</v>
      </c>
      <c r="H37" s="49">
        <f>SUM(H20:H36)</f>
        <v>46.5</v>
      </c>
      <c r="I37" s="49">
        <f t="shared" si="1"/>
        <v>4.5</v>
      </c>
      <c r="J37" s="20"/>
    </row>
    <row r="38" spans="1:10" ht="18.75" customHeight="1" x14ac:dyDescent="0.15">
      <c r="A38" s="67" t="s">
        <v>17</v>
      </c>
      <c r="B38" s="63"/>
      <c r="C38" s="63"/>
      <c r="D38" s="63"/>
      <c r="E38" s="63"/>
      <c r="F38" s="63"/>
      <c r="G38" s="63"/>
      <c r="H38" s="63"/>
      <c r="I38" s="63"/>
      <c r="J38" s="64"/>
    </row>
    <row r="39" spans="1:10" ht="13" x14ac:dyDescent="0.15">
      <c r="A39" s="27" t="s">
        <v>11</v>
      </c>
      <c r="B39" s="68" t="s">
        <v>12</v>
      </c>
      <c r="C39" s="63"/>
      <c r="D39" s="63"/>
      <c r="E39" s="63"/>
      <c r="F39" s="63"/>
      <c r="G39" s="63"/>
      <c r="H39" s="63"/>
      <c r="I39" s="63"/>
      <c r="J39" s="64"/>
    </row>
    <row r="40" spans="1:10" ht="27.75" customHeight="1" x14ac:dyDescent="0.15">
      <c r="A40" s="28" t="s">
        <v>13</v>
      </c>
      <c r="B40" s="68"/>
      <c r="C40" s="63"/>
      <c r="D40" s="63"/>
      <c r="E40" s="63"/>
      <c r="F40" s="63"/>
      <c r="G40" s="63"/>
      <c r="H40" s="63"/>
      <c r="I40" s="63"/>
      <c r="J40" s="64"/>
    </row>
    <row r="41" spans="1:10" ht="13" x14ac:dyDescent="0.15">
      <c r="A41" s="29">
        <v>45796</v>
      </c>
      <c r="B41" s="25" t="s">
        <v>46</v>
      </c>
      <c r="C41" s="12" t="s">
        <v>140</v>
      </c>
      <c r="D41" s="25" t="s">
        <v>141</v>
      </c>
      <c r="E41" s="13" t="s">
        <v>55</v>
      </c>
      <c r="F41" s="13" t="s">
        <v>60</v>
      </c>
      <c r="G41" s="55">
        <v>2</v>
      </c>
      <c r="H41" s="55">
        <v>2</v>
      </c>
      <c r="I41" s="55">
        <f t="shared" ref="I41:I55" si="2">H41-G41</f>
        <v>0</v>
      </c>
      <c r="J41" s="25" t="s">
        <v>142</v>
      </c>
    </row>
    <row r="42" spans="1:10" ht="13" x14ac:dyDescent="0.15">
      <c r="A42" s="29"/>
      <c r="B42" s="25" t="s">
        <v>46</v>
      </c>
      <c r="C42" s="12" t="s">
        <v>152</v>
      </c>
      <c r="D42" s="25" t="s">
        <v>153</v>
      </c>
      <c r="E42" s="13" t="s">
        <v>55</v>
      </c>
      <c r="F42" s="13" t="s">
        <v>60</v>
      </c>
      <c r="G42" s="55">
        <v>1</v>
      </c>
      <c r="H42" s="55">
        <v>2</v>
      </c>
      <c r="I42" s="55">
        <f t="shared" si="2"/>
        <v>1</v>
      </c>
      <c r="J42" s="25"/>
    </row>
    <row r="43" spans="1:10" ht="13" x14ac:dyDescent="0.15">
      <c r="A43" s="29"/>
      <c r="B43" s="25" t="s">
        <v>46</v>
      </c>
      <c r="C43" s="12" t="s">
        <v>154</v>
      </c>
      <c r="D43" s="25" t="s">
        <v>155</v>
      </c>
      <c r="E43" s="13" t="s">
        <v>54</v>
      </c>
      <c r="F43" s="13" t="s">
        <v>60</v>
      </c>
      <c r="G43" s="55">
        <v>4</v>
      </c>
      <c r="H43" s="55">
        <v>4</v>
      </c>
      <c r="I43" s="55">
        <f t="shared" si="2"/>
        <v>0</v>
      </c>
      <c r="J43" s="25"/>
    </row>
    <row r="44" spans="1:10" ht="13" x14ac:dyDescent="0.15">
      <c r="A44" s="29" t="s">
        <v>243</v>
      </c>
      <c r="B44" s="25" t="s">
        <v>46</v>
      </c>
      <c r="C44" s="12" t="s">
        <v>144</v>
      </c>
      <c r="D44" s="25" t="s">
        <v>143</v>
      </c>
      <c r="E44" s="13" t="s">
        <v>55</v>
      </c>
      <c r="F44" s="13" t="s">
        <v>60</v>
      </c>
      <c r="G44" s="55">
        <v>4</v>
      </c>
      <c r="H44" s="55">
        <v>4</v>
      </c>
      <c r="I44" s="55">
        <f t="shared" si="2"/>
        <v>0</v>
      </c>
      <c r="J44" s="25" t="s">
        <v>156</v>
      </c>
    </row>
    <row r="45" spans="1:10" ht="13" x14ac:dyDescent="0.15">
      <c r="A45" s="29"/>
      <c r="B45" s="25" t="s">
        <v>46</v>
      </c>
      <c r="C45" s="12" t="s">
        <v>157</v>
      </c>
      <c r="D45" s="25" t="s">
        <v>145</v>
      </c>
      <c r="E45" s="13" t="s">
        <v>55</v>
      </c>
      <c r="F45" s="13" t="s">
        <v>60</v>
      </c>
      <c r="G45" s="55">
        <v>4</v>
      </c>
      <c r="H45" s="55">
        <v>4</v>
      </c>
      <c r="I45" s="55">
        <f t="shared" si="2"/>
        <v>0</v>
      </c>
      <c r="J45" s="25" t="s">
        <v>146</v>
      </c>
    </row>
    <row r="46" spans="1:10" ht="13" x14ac:dyDescent="0.15">
      <c r="A46" s="29"/>
      <c r="B46" s="25" t="s">
        <v>46</v>
      </c>
      <c r="C46" s="12" t="s">
        <v>158</v>
      </c>
      <c r="D46" s="25" t="s">
        <v>147</v>
      </c>
      <c r="E46" s="13" t="s">
        <v>55</v>
      </c>
      <c r="F46" s="13" t="s">
        <v>60</v>
      </c>
      <c r="G46" s="55">
        <v>5</v>
      </c>
      <c r="H46" s="55">
        <v>5</v>
      </c>
      <c r="I46" s="55">
        <f t="shared" si="2"/>
        <v>0</v>
      </c>
      <c r="J46" s="25"/>
    </row>
    <row r="47" spans="1:10" ht="13" x14ac:dyDescent="0.15">
      <c r="A47" s="29" t="s">
        <v>244</v>
      </c>
      <c r="B47" s="25" t="s">
        <v>46</v>
      </c>
      <c r="C47" s="12" t="s">
        <v>150</v>
      </c>
      <c r="D47" s="25" t="s">
        <v>148</v>
      </c>
      <c r="E47" s="13" t="s">
        <v>55</v>
      </c>
      <c r="F47" s="13" t="s">
        <v>60</v>
      </c>
      <c r="G47" s="55">
        <v>3</v>
      </c>
      <c r="H47" s="55">
        <v>3</v>
      </c>
      <c r="I47" s="55">
        <f t="shared" si="2"/>
        <v>0</v>
      </c>
      <c r="J47" s="25" t="s">
        <v>149</v>
      </c>
    </row>
    <row r="48" spans="1:10" ht="13" x14ac:dyDescent="0.15">
      <c r="A48" s="29"/>
      <c r="B48" s="25" t="s">
        <v>46</v>
      </c>
      <c r="C48" s="12" t="s">
        <v>159</v>
      </c>
      <c r="D48" s="25" t="s">
        <v>151</v>
      </c>
      <c r="E48" s="13" t="s">
        <v>55</v>
      </c>
      <c r="F48" s="13" t="s">
        <v>62</v>
      </c>
      <c r="G48" s="55">
        <v>2</v>
      </c>
      <c r="H48" s="55">
        <v>1</v>
      </c>
      <c r="I48" s="55">
        <f t="shared" si="2"/>
        <v>-1</v>
      </c>
      <c r="J48" s="25"/>
    </row>
    <row r="49" spans="1:10" ht="13" x14ac:dyDescent="0.15">
      <c r="A49" s="29"/>
      <c r="B49" s="25" t="s">
        <v>46</v>
      </c>
      <c r="C49" s="12" t="s">
        <v>163</v>
      </c>
      <c r="D49" s="25" t="s">
        <v>164</v>
      </c>
      <c r="E49" s="13" t="s">
        <v>55</v>
      </c>
      <c r="F49" s="13" t="s">
        <v>60</v>
      </c>
      <c r="G49" s="55">
        <v>5</v>
      </c>
      <c r="H49" s="55">
        <v>5</v>
      </c>
      <c r="I49" s="55">
        <f t="shared" si="2"/>
        <v>0</v>
      </c>
      <c r="J49" s="25" t="s">
        <v>165</v>
      </c>
    </row>
    <row r="50" spans="1:10" ht="13" x14ac:dyDescent="0.15">
      <c r="A50" s="29" t="s">
        <v>245</v>
      </c>
      <c r="B50" s="25" t="s">
        <v>46</v>
      </c>
      <c r="C50" s="12" t="s">
        <v>166</v>
      </c>
      <c r="D50" s="25" t="s">
        <v>167</v>
      </c>
      <c r="E50" s="13" t="s">
        <v>55</v>
      </c>
      <c r="F50" s="13" t="s">
        <v>61</v>
      </c>
      <c r="G50" s="55">
        <v>0.5</v>
      </c>
      <c r="H50" s="55">
        <v>0.5</v>
      </c>
      <c r="I50" s="55">
        <f t="shared" si="2"/>
        <v>0</v>
      </c>
      <c r="J50" s="25" t="s">
        <v>168</v>
      </c>
    </row>
    <row r="51" spans="1:10" ht="13" x14ac:dyDescent="0.15">
      <c r="A51" s="29"/>
      <c r="B51" s="25" t="s">
        <v>46</v>
      </c>
      <c r="C51" s="12" t="s">
        <v>169</v>
      </c>
      <c r="D51" s="25" t="s">
        <v>170</v>
      </c>
      <c r="E51" s="13" t="s">
        <v>45</v>
      </c>
      <c r="F51" s="13" t="s">
        <v>60</v>
      </c>
      <c r="G51" s="55">
        <v>1</v>
      </c>
      <c r="H51" s="55">
        <v>2</v>
      </c>
      <c r="I51" s="55">
        <f t="shared" si="2"/>
        <v>1</v>
      </c>
      <c r="J51" s="25"/>
    </row>
    <row r="52" spans="1:10" ht="13" x14ac:dyDescent="0.15">
      <c r="A52" s="29"/>
      <c r="B52" s="25" t="s">
        <v>46</v>
      </c>
      <c r="C52" s="12" t="s">
        <v>160</v>
      </c>
      <c r="D52" s="25" t="s">
        <v>161</v>
      </c>
      <c r="E52" s="13" t="s">
        <v>55</v>
      </c>
      <c r="F52" s="13" t="s">
        <v>60</v>
      </c>
      <c r="G52" s="55">
        <v>4</v>
      </c>
      <c r="H52" s="55">
        <v>4</v>
      </c>
      <c r="I52" s="55">
        <f t="shared" si="2"/>
        <v>0</v>
      </c>
      <c r="J52" s="25" t="s">
        <v>162</v>
      </c>
    </row>
    <row r="53" spans="1:10" ht="13" x14ac:dyDescent="0.15">
      <c r="A53" s="29"/>
      <c r="B53" s="25" t="s">
        <v>46</v>
      </c>
      <c r="C53" s="12" t="s">
        <v>173</v>
      </c>
      <c r="D53" s="25" t="s">
        <v>174</v>
      </c>
      <c r="E53" s="13" t="s">
        <v>43</v>
      </c>
      <c r="F53" s="13" t="s">
        <v>60</v>
      </c>
      <c r="G53" s="55">
        <v>4</v>
      </c>
      <c r="H53" s="55">
        <v>7</v>
      </c>
      <c r="I53" s="55">
        <f t="shared" si="2"/>
        <v>3</v>
      </c>
      <c r="J53" s="25"/>
    </row>
    <row r="54" spans="1:10" ht="13" x14ac:dyDescent="0.15">
      <c r="A54" s="29">
        <v>45800</v>
      </c>
      <c r="B54" s="25" t="s">
        <v>46</v>
      </c>
      <c r="C54" s="12" t="s">
        <v>171</v>
      </c>
      <c r="D54" s="25" t="s">
        <v>172</v>
      </c>
      <c r="E54" s="13" t="s">
        <v>51</v>
      </c>
      <c r="F54" s="13" t="s">
        <v>61</v>
      </c>
      <c r="G54" s="55">
        <v>1</v>
      </c>
      <c r="H54" s="55">
        <v>1</v>
      </c>
      <c r="I54" s="55">
        <f>H54-G54</f>
        <v>0</v>
      </c>
      <c r="J54" s="25"/>
    </row>
    <row r="55" spans="1:10" ht="13" x14ac:dyDescent="0.15">
      <c r="A55" s="18"/>
      <c r="B55" s="20"/>
      <c r="C55" s="20"/>
      <c r="D55" s="20"/>
      <c r="E55" s="20" t="s">
        <v>15</v>
      </c>
      <c r="F55" s="20"/>
      <c r="G55" s="56">
        <f t="shared" ref="G55" si="3">SUM(G41:G54)</f>
        <v>40.5</v>
      </c>
      <c r="H55" s="56">
        <f>SUM(H41:H54)</f>
        <v>44.5</v>
      </c>
      <c r="I55" s="56">
        <f t="shared" si="2"/>
        <v>4</v>
      </c>
      <c r="J55" s="20"/>
    </row>
    <row r="56" spans="1:10" ht="18.75" customHeight="1" x14ac:dyDescent="0.15">
      <c r="A56" s="69" t="s">
        <v>18</v>
      </c>
      <c r="B56" s="63"/>
      <c r="C56" s="63"/>
      <c r="D56" s="63"/>
      <c r="E56" s="63"/>
      <c r="F56" s="63"/>
      <c r="G56" s="63"/>
      <c r="H56" s="63"/>
      <c r="I56" s="63"/>
      <c r="J56" s="64"/>
    </row>
    <row r="57" spans="1:10" ht="13" x14ac:dyDescent="0.15">
      <c r="A57" s="30" t="s">
        <v>11</v>
      </c>
      <c r="B57" s="70" t="s">
        <v>12</v>
      </c>
      <c r="C57" s="63"/>
      <c r="D57" s="63"/>
      <c r="E57" s="63"/>
      <c r="F57" s="63"/>
      <c r="G57" s="63"/>
      <c r="H57" s="63"/>
      <c r="I57" s="63"/>
      <c r="J57" s="64"/>
    </row>
    <row r="58" spans="1:10" ht="27.75" customHeight="1" x14ac:dyDescent="0.15">
      <c r="A58" s="31" t="s">
        <v>13</v>
      </c>
      <c r="B58" s="70" t="s">
        <v>139</v>
      </c>
      <c r="C58" s="63"/>
      <c r="D58" s="63"/>
      <c r="E58" s="63"/>
      <c r="F58" s="63"/>
      <c r="G58" s="63"/>
      <c r="H58" s="63"/>
      <c r="I58" s="63"/>
      <c r="J58" s="64"/>
    </row>
    <row r="59" spans="1:10" ht="13" x14ac:dyDescent="0.15">
      <c r="A59" s="29" t="s">
        <v>246</v>
      </c>
      <c r="B59" s="25" t="s">
        <v>46</v>
      </c>
      <c r="C59" s="12" t="s">
        <v>175</v>
      </c>
      <c r="D59" s="25" t="s">
        <v>176</v>
      </c>
      <c r="E59" s="13" t="s">
        <v>41</v>
      </c>
      <c r="F59" s="13" t="s">
        <v>63</v>
      </c>
      <c r="G59" s="26">
        <v>4</v>
      </c>
      <c r="H59" s="26">
        <v>4</v>
      </c>
      <c r="I59" s="26">
        <f t="shared" ref="I59:I70" si="4">H59-G59</f>
        <v>0</v>
      </c>
      <c r="J59" s="25"/>
    </row>
    <row r="60" spans="1:10" ht="13" x14ac:dyDescent="0.15">
      <c r="A60" s="29"/>
      <c r="B60" s="25" t="s">
        <v>46</v>
      </c>
      <c r="C60" s="12" t="s">
        <v>177</v>
      </c>
      <c r="D60" s="25" t="s">
        <v>178</v>
      </c>
      <c r="E60" s="13" t="s">
        <v>51</v>
      </c>
      <c r="F60" s="13" t="s">
        <v>63</v>
      </c>
      <c r="G60" s="26">
        <v>2</v>
      </c>
      <c r="H60" s="26">
        <v>2</v>
      </c>
      <c r="I60" s="26">
        <f t="shared" si="4"/>
        <v>0</v>
      </c>
      <c r="J60" s="25" t="s">
        <v>179</v>
      </c>
    </row>
    <row r="61" spans="1:10" ht="13" x14ac:dyDescent="0.15">
      <c r="A61" s="29"/>
      <c r="B61" s="25" t="s">
        <v>46</v>
      </c>
      <c r="C61" s="12" t="s">
        <v>180</v>
      </c>
      <c r="D61" s="25" t="s">
        <v>181</v>
      </c>
      <c r="E61" s="13" t="s">
        <v>51</v>
      </c>
      <c r="F61" s="13" t="s">
        <v>63</v>
      </c>
      <c r="G61" s="26">
        <v>4</v>
      </c>
      <c r="H61" s="26">
        <v>4</v>
      </c>
      <c r="I61" s="26">
        <f t="shared" si="4"/>
        <v>0</v>
      </c>
      <c r="J61" s="25" t="s">
        <v>182</v>
      </c>
    </row>
    <row r="62" spans="1:10" ht="13" x14ac:dyDescent="0.15">
      <c r="A62" s="29" t="s">
        <v>247</v>
      </c>
      <c r="B62" s="25" t="s">
        <v>46</v>
      </c>
      <c r="C62" s="12" t="s">
        <v>183</v>
      </c>
      <c r="D62" s="25" t="s">
        <v>184</v>
      </c>
      <c r="E62" s="13" t="s">
        <v>55</v>
      </c>
      <c r="F62" s="13" t="s">
        <v>61</v>
      </c>
      <c r="G62" s="26">
        <v>5</v>
      </c>
      <c r="H62" s="26">
        <v>5</v>
      </c>
      <c r="I62" s="26">
        <f t="shared" si="4"/>
        <v>0</v>
      </c>
      <c r="J62" s="25"/>
    </row>
    <row r="63" spans="1:10" ht="13" x14ac:dyDescent="0.15">
      <c r="A63" s="29"/>
      <c r="B63" s="25" t="s">
        <v>46</v>
      </c>
      <c r="C63" s="12" t="s">
        <v>185</v>
      </c>
      <c r="D63" s="25" t="s">
        <v>186</v>
      </c>
      <c r="E63" s="13" t="s">
        <v>41</v>
      </c>
      <c r="F63" s="13" t="s">
        <v>61</v>
      </c>
      <c r="G63" s="26">
        <v>4</v>
      </c>
      <c r="H63" s="26">
        <v>4</v>
      </c>
      <c r="I63" s="26">
        <f t="shared" si="4"/>
        <v>0</v>
      </c>
      <c r="J63" s="25" t="s">
        <v>187</v>
      </c>
    </row>
    <row r="64" spans="1:10" ht="13" x14ac:dyDescent="0.15">
      <c r="A64" s="29"/>
      <c r="B64" s="25" t="s">
        <v>46</v>
      </c>
      <c r="C64" s="12" t="s">
        <v>188</v>
      </c>
      <c r="D64" s="25" t="s">
        <v>189</v>
      </c>
      <c r="E64" s="13" t="s">
        <v>41</v>
      </c>
      <c r="F64" s="13" t="s">
        <v>61</v>
      </c>
      <c r="G64" s="26">
        <v>4</v>
      </c>
      <c r="H64" s="26">
        <v>4</v>
      </c>
      <c r="I64" s="26">
        <f t="shared" si="4"/>
        <v>0</v>
      </c>
      <c r="J64" s="25" t="s">
        <v>190</v>
      </c>
    </row>
    <row r="65" spans="1:10" ht="13" x14ac:dyDescent="0.15">
      <c r="A65" s="29" t="s">
        <v>248</v>
      </c>
      <c r="B65" s="25" t="s">
        <v>46</v>
      </c>
      <c r="C65" s="12" t="s">
        <v>191</v>
      </c>
      <c r="D65" s="25" t="s">
        <v>192</v>
      </c>
      <c r="E65" s="13" t="s">
        <v>51</v>
      </c>
      <c r="F65" s="13" t="s">
        <v>61</v>
      </c>
      <c r="G65" s="26">
        <v>5</v>
      </c>
      <c r="H65" s="26">
        <v>5</v>
      </c>
      <c r="I65" s="26">
        <f t="shared" si="4"/>
        <v>0</v>
      </c>
      <c r="J65" s="25" t="s">
        <v>193</v>
      </c>
    </row>
    <row r="66" spans="1:10" ht="13" x14ac:dyDescent="0.15">
      <c r="A66" s="29"/>
      <c r="B66" s="25" t="s">
        <v>46</v>
      </c>
      <c r="C66" s="12" t="s">
        <v>194</v>
      </c>
      <c r="D66" s="25" t="s">
        <v>195</v>
      </c>
      <c r="E66" s="13" t="s">
        <v>55</v>
      </c>
      <c r="F66" s="13" t="s">
        <v>63</v>
      </c>
      <c r="G66" s="26">
        <v>4</v>
      </c>
      <c r="H66" s="26">
        <v>4</v>
      </c>
      <c r="I66" s="26">
        <f t="shared" si="4"/>
        <v>0</v>
      </c>
      <c r="J66" s="25"/>
    </row>
    <row r="67" spans="1:10" ht="13" x14ac:dyDescent="0.15">
      <c r="A67" s="29" t="s">
        <v>249</v>
      </c>
      <c r="B67" s="25" t="s">
        <v>46</v>
      </c>
      <c r="C67" s="12" t="s">
        <v>196</v>
      </c>
      <c r="D67" s="25" t="s">
        <v>197</v>
      </c>
      <c r="E67" s="13" t="s">
        <v>55</v>
      </c>
      <c r="F67" s="13" t="s">
        <v>61</v>
      </c>
      <c r="G67" s="26">
        <v>6</v>
      </c>
      <c r="H67" s="26">
        <v>6</v>
      </c>
      <c r="I67" s="26">
        <f t="shared" si="4"/>
        <v>0</v>
      </c>
      <c r="J67" s="25"/>
    </row>
    <row r="68" spans="1:10" ht="13" x14ac:dyDescent="0.15">
      <c r="A68" s="29"/>
      <c r="B68" s="25" t="s">
        <v>46</v>
      </c>
      <c r="C68" s="12" t="s">
        <v>198</v>
      </c>
      <c r="D68" s="25" t="s">
        <v>199</v>
      </c>
      <c r="E68" s="13" t="s">
        <v>51</v>
      </c>
      <c r="F68" s="13" t="s">
        <v>62</v>
      </c>
      <c r="G68" s="26">
        <v>4</v>
      </c>
      <c r="H68" s="26">
        <v>4</v>
      </c>
      <c r="I68" s="26">
        <f t="shared" si="4"/>
        <v>0</v>
      </c>
      <c r="J68" s="25" t="s">
        <v>200</v>
      </c>
    </row>
    <row r="69" spans="1:10" ht="13" x14ac:dyDescent="0.15">
      <c r="A69" s="29" t="s">
        <v>250</v>
      </c>
      <c r="B69" s="25" t="s">
        <v>46</v>
      </c>
      <c r="C69" s="12" t="s">
        <v>201</v>
      </c>
      <c r="D69" s="25" t="s">
        <v>202</v>
      </c>
      <c r="E69" s="13" t="s">
        <v>45</v>
      </c>
      <c r="F69" s="13" t="s">
        <v>60</v>
      </c>
      <c r="G69" s="26">
        <v>3</v>
      </c>
      <c r="H69" s="26">
        <v>3</v>
      </c>
      <c r="I69" s="26">
        <f t="shared" si="4"/>
        <v>0</v>
      </c>
      <c r="J69" s="25"/>
    </row>
    <row r="70" spans="1:10" ht="13" x14ac:dyDescent="0.15">
      <c r="A70" s="18"/>
      <c r="B70" s="20"/>
      <c r="C70" s="20"/>
      <c r="D70" s="20"/>
      <c r="E70" s="20" t="s">
        <v>15</v>
      </c>
      <c r="F70" s="20"/>
      <c r="G70" s="23">
        <f>SUM(G59:G69)</f>
        <v>45</v>
      </c>
      <c r="H70" s="23">
        <f>SUM(H59:H69)</f>
        <v>45</v>
      </c>
      <c r="I70" s="23">
        <f t="shared" si="4"/>
        <v>0</v>
      </c>
      <c r="J70" s="20"/>
    </row>
    <row r="71" spans="1:10" ht="18.75" customHeight="1" x14ac:dyDescent="0.15">
      <c r="A71" s="71" t="s">
        <v>19</v>
      </c>
      <c r="B71" s="63"/>
      <c r="C71" s="63"/>
      <c r="D71" s="63"/>
      <c r="E71" s="63"/>
      <c r="F71" s="63"/>
      <c r="G71" s="63"/>
      <c r="H71" s="63"/>
      <c r="I71" s="63"/>
      <c r="J71" s="64"/>
    </row>
    <row r="72" spans="1:10" ht="13" x14ac:dyDescent="0.15">
      <c r="A72" s="32" t="s">
        <v>11</v>
      </c>
      <c r="B72" s="72" t="s">
        <v>258</v>
      </c>
      <c r="C72" s="63"/>
      <c r="D72" s="63"/>
      <c r="E72" s="63"/>
      <c r="F72" s="63"/>
      <c r="G72" s="63"/>
      <c r="H72" s="63"/>
      <c r="I72" s="63"/>
      <c r="J72" s="64"/>
    </row>
    <row r="73" spans="1:10" ht="27.75" customHeight="1" x14ac:dyDescent="0.15">
      <c r="A73" s="33" t="s">
        <v>13</v>
      </c>
      <c r="B73" s="72" t="s">
        <v>259</v>
      </c>
      <c r="C73" s="63"/>
      <c r="D73" s="63"/>
      <c r="E73" s="63"/>
      <c r="F73" s="63"/>
      <c r="G73" s="63"/>
      <c r="H73" s="63"/>
      <c r="I73" s="63"/>
      <c r="J73" s="64"/>
    </row>
    <row r="74" spans="1:10" ht="13" x14ac:dyDescent="0.15">
      <c r="A74" s="29">
        <v>45694</v>
      </c>
      <c r="B74" s="25" t="s">
        <v>46</v>
      </c>
      <c r="C74" s="12" t="s">
        <v>260</v>
      </c>
      <c r="D74" s="25" t="s">
        <v>268</v>
      </c>
      <c r="E74" s="13" t="s">
        <v>41</v>
      </c>
      <c r="F74" s="13" t="s">
        <v>60</v>
      </c>
      <c r="G74" s="26">
        <v>2</v>
      </c>
      <c r="H74" s="26">
        <v>2</v>
      </c>
      <c r="I74" s="26">
        <f t="shared" ref="I74:I84" si="5">H74-G74</f>
        <v>0</v>
      </c>
      <c r="J74" s="25" t="s">
        <v>269</v>
      </c>
    </row>
    <row r="75" spans="1:10" ht="13" x14ac:dyDescent="0.15">
      <c r="A75" s="29"/>
      <c r="B75" s="25" t="s">
        <v>46</v>
      </c>
      <c r="C75" s="12" t="s">
        <v>261</v>
      </c>
      <c r="D75" s="25" t="s">
        <v>270</v>
      </c>
      <c r="E75" s="13" t="s">
        <v>43</v>
      </c>
      <c r="F75" s="13" t="s">
        <v>64</v>
      </c>
      <c r="G75" s="26">
        <v>6</v>
      </c>
      <c r="H75" s="26">
        <v>6</v>
      </c>
      <c r="I75" s="26">
        <f t="shared" si="5"/>
        <v>0</v>
      </c>
      <c r="J75" s="25" t="s">
        <v>271</v>
      </c>
    </row>
    <row r="76" spans="1:10" ht="13" x14ac:dyDescent="0.15">
      <c r="A76" s="29">
        <v>45722</v>
      </c>
      <c r="B76" s="25" t="s">
        <v>46</v>
      </c>
      <c r="C76" s="12" t="s">
        <v>262</v>
      </c>
      <c r="D76" s="25" t="s">
        <v>271</v>
      </c>
      <c r="E76" s="13" t="s">
        <v>41</v>
      </c>
      <c r="F76" s="13" t="s">
        <v>60</v>
      </c>
      <c r="G76" s="26">
        <v>1</v>
      </c>
      <c r="H76" s="26">
        <v>1</v>
      </c>
      <c r="I76" s="26">
        <f t="shared" si="5"/>
        <v>0</v>
      </c>
      <c r="J76" s="25"/>
    </row>
    <row r="77" spans="1:10" ht="13" x14ac:dyDescent="0.15">
      <c r="A77" s="29"/>
      <c r="B77" s="25" t="s">
        <v>46</v>
      </c>
      <c r="C77" s="12" t="s">
        <v>263</v>
      </c>
      <c r="D77" s="25" t="s">
        <v>272</v>
      </c>
      <c r="E77" s="13" t="s">
        <v>43</v>
      </c>
      <c r="F77" s="13" t="s">
        <v>64</v>
      </c>
      <c r="G77" s="26">
        <v>4</v>
      </c>
      <c r="H77" s="26">
        <v>4</v>
      </c>
      <c r="I77" s="26">
        <f t="shared" si="5"/>
        <v>0</v>
      </c>
      <c r="J77" s="25" t="s">
        <v>273</v>
      </c>
    </row>
    <row r="78" spans="1:10" ht="13" x14ac:dyDescent="0.15">
      <c r="A78" s="29"/>
      <c r="B78" s="25" t="s">
        <v>46</v>
      </c>
      <c r="C78" s="12" t="s">
        <v>264</v>
      </c>
      <c r="D78" s="25" t="s">
        <v>274</v>
      </c>
      <c r="E78" s="13" t="s">
        <v>43</v>
      </c>
      <c r="F78" s="13" t="s">
        <v>59</v>
      </c>
      <c r="G78" s="26">
        <v>6</v>
      </c>
      <c r="H78" s="26">
        <v>6</v>
      </c>
      <c r="I78" s="26">
        <f t="shared" si="5"/>
        <v>0</v>
      </c>
      <c r="J78" s="25" t="s">
        <v>275</v>
      </c>
    </row>
    <row r="79" spans="1:10" ht="13" x14ac:dyDescent="0.15">
      <c r="A79" s="29">
        <v>45753</v>
      </c>
      <c r="B79" s="25" t="s">
        <v>46</v>
      </c>
      <c r="C79" s="12" t="s">
        <v>262</v>
      </c>
      <c r="D79" s="25" t="s">
        <v>276</v>
      </c>
      <c r="E79" s="13" t="s">
        <v>41</v>
      </c>
      <c r="F79" s="13" t="s">
        <v>59</v>
      </c>
      <c r="G79" s="26">
        <v>1</v>
      </c>
      <c r="H79" s="26">
        <v>1</v>
      </c>
      <c r="I79" s="26">
        <f t="shared" si="5"/>
        <v>0</v>
      </c>
      <c r="J79" s="25" t="s">
        <v>277</v>
      </c>
    </row>
    <row r="80" spans="1:10" ht="13" x14ac:dyDescent="0.15">
      <c r="A80" s="29"/>
      <c r="B80" s="25" t="s">
        <v>46</v>
      </c>
      <c r="C80" s="12" t="s">
        <v>265</v>
      </c>
      <c r="D80" s="25" t="s">
        <v>278</v>
      </c>
      <c r="E80" s="13" t="s">
        <v>43</v>
      </c>
      <c r="F80" s="13" t="s">
        <v>64</v>
      </c>
      <c r="G80" s="26">
        <v>8</v>
      </c>
      <c r="H80" s="26">
        <v>8</v>
      </c>
      <c r="I80" s="26">
        <f t="shared" si="5"/>
        <v>0</v>
      </c>
      <c r="J80" s="25"/>
    </row>
    <row r="81" spans="1:10" ht="13" x14ac:dyDescent="0.15">
      <c r="A81" s="29">
        <v>45783</v>
      </c>
      <c r="B81" s="25" t="s">
        <v>46</v>
      </c>
      <c r="C81" s="12" t="s">
        <v>262</v>
      </c>
      <c r="D81" s="25" t="s">
        <v>279</v>
      </c>
      <c r="E81" s="13" t="s">
        <v>41</v>
      </c>
      <c r="F81" s="13" t="s">
        <v>59</v>
      </c>
      <c r="G81" s="26">
        <v>1</v>
      </c>
      <c r="H81" s="26">
        <v>1</v>
      </c>
      <c r="I81" s="26">
        <f t="shared" si="5"/>
        <v>0</v>
      </c>
      <c r="J81" s="25"/>
    </row>
    <row r="82" spans="1:10" ht="13" x14ac:dyDescent="0.15">
      <c r="A82" s="29"/>
      <c r="B82" s="25" t="s">
        <v>46</v>
      </c>
      <c r="C82" s="12" t="s">
        <v>266</v>
      </c>
      <c r="D82" s="25" t="s">
        <v>280</v>
      </c>
      <c r="E82" s="13" t="s">
        <v>43</v>
      </c>
      <c r="F82" s="13" t="s">
        <v>64</v>
      </c>
      <c r="G82" s="26">
        <v>6</v>
      </c>
      <c r="H82" s="26">
        <v>6</v>
      </c>
      <c r="I82" s="26">
        <f t="shared" si="5"/>
        <v>0</v>
      </c>
      <c r="J82" s="25" t="s">
        <v>281</v>
      </c>
    </row>
    <row r="83" spans="1:10" ht="13" x14ac:dyDescent="0.15">
      <c r="A83" s="29">
        <v>46179</v>
      </c>
      <c r="B83" s="25" t="s">
        <v>46</v>
      </c>
      <c r="C83" s="12" t="s">
        <v>267</v>
      </c>
      <c r="D83" s="25" t="s">
        <v>282</v>
      </c>
      <c r="E83" s="13" t="s">
        <v>47</v>
      </c>
      <c r="F83" s="13" t="s">
        <v>64</v>
      </c>
      <c r="G83" s="26">
        <v>5</v>
      </c>
      <c r="H83" s="26">
        <v>5</v>
      </c>
      <c r="I83" s="26">
        <f t="shared" si="5"/>
        <v>0</v>
      </c>
      <c r="J83" s="25" t="s">
        <v>283</v>
      </c>
    </row>
    <row r="84" spans="1:10" ht="13" x14ac:dyDescent="0.15">
      <c r="A84" s="18"/>
      <c r="B84" s="20"/>
      <c r="C84" s="20"/>
      <c r="D84" s="20"/>
      <c r="E84" s="20" t="s">
        <v>15</v>
      </c>
      <c r="F84" s="20"/>
      <c r="G84" s="23">
        <f t="shared" ref="G84:H84" si="6">SUM(G74:G83)</f>
        <v>40</v>
      </c>
      <c r="H84" s="23">
        <f t="shared" si="6"/>
        <v>40</v>
      </c>
      <c r="I84" s="23">
        <f t="shared" si="5"/>
        <v>0</v>
      </c>
      <c r="J84" s="20"/>
    </row>
    <row r="85" spans="1:10" ht="18.75" customHeight="1" x14ac:dyDescent="0.15">
      <c r="A85" s="74" t="s">
        <v>20</v>
      </c>
      <c r="B85" s="63"/>
      <c r="C85" s="63"/>
      <c r="D85" s="63"/>
      <c r="E85" s="63"/>
      <c r="F85" s="63"/>
      <c r="G85" s="63"/>
      <c r="H85" s="63"/>
      <c r="I85" s="63"/>
      <c r="J85" s="64"/>
    </row>
    <row r="86" spans="1:10" ht="13" x14ac:dyDescent="0.15">
      <c r="A86" s="34" t="s">
        <v>11</v>
      </c>
      <c r="B86" s="80" t="s">
        <v>284</v>
      </c>
      <c r="C86" s="63"/>
      <c r="D86" s="63"/>
      <c r="E86" s="63"/>
      <c r="F86" s="63"/>
      <c r="G86" s="63"/>
      <c r="H86" s="63"/>
      <c r="I86" s="63"/>
      <c r="J86" s="64"/>
    </row>
    <row r="87" spans="1:10" ht="27.75" customHeight="1" x14ac:dyDescent="0.15">
      <c r="A87" s="35" t="s">
        <v>13</v>
      </c>
      <c r="B87" s="75" t="s">
        <v>234</v>
      </c>
      <c r="C87" s="63"/>
      <c r="D87" s="63"/>
      <c r="E87" s="63"/>
      <c r="F87" s="63"/>
      <c r="G87" s="63"/>
      <c r="H87" s="63"/>
      <c r="I87" s="63"/>
      <c r="J87" s="64"/>
    </row>
    <row r="88" spans="1:10" ht="13" x14ac:dyDescent="0.15">
      <c r="A88" s="29">
        <v>45906</v>
      </c>
      <c r="B88" s="25" t="s">
        <v>46</v>
      </c>
      <c r="C88" s="12" t="s">
        <v>285</v>
      </c>
      <c r="D88" s="25" t="s">
        <v>290</v>
      </c>
      <c r="E88" s="13" t="s">
        <v>55</v>
      </c>
      <c r="F88" s="13" t="s">
        <v>64</v>
      </c>
      <c r="G88" s="26">
        <v>6</v>
      </c>
      <c r="H88" s="26">
        <v>6</v>
      </c>
      <c r="I88" s="26">
        <f t="shared" ref="I88:I98" si="7">H88-G88</f>
        <v>0</v>
      </c>
      <c r="J88" s="25" t="s">
        <v>291</v>
      </c>
    </row>
    <row r="89" spans="1:10" ht="13" x14ac:dyDescent="0.15">
      <c r="A89" s="29"/>
      <c r="B89" s="25" t="s">
        <v>46</v>
      </c>
      <c r="C89" s="12" t="s">
        <v>286</v>
      </c>
      <c r="D89" s="25" t="s">
        <v>292</v>
      </c>
      <c r="E89" s="13" t="s">
        <v>41</v>
      </c>
      <c r="F89" s="13" t="s">
        <v>59</v>
      </c>
      <c r="G89" s="26">
        <v>1</v>
      </c>
      <c r="H89" s="26">
        <v>1</v>
      </c>
      <c r="I89" s="26">
        <f t="shared" si="7"/>
        <v>0</v>
      </c>
      <c r="J89" s="25"/>
    </row>
    <row r="90" spans="1:10" ht="13" x14ac:dyDescent="0.15">
      <c r="A90" s="29">
        <v>45936</v>
      </c>
      <c r="B90" s="25" t="s">
        <v>46</v>
      </c>
      <c r="C90" s="12" t="s">
        <v>287</v>
      </c>
      <c r="D90" s="25" t="s">
        <v>290</v>
      </c>
      <c r="E90" s="13" t="s">
        <v>43</v>
      </c>
      <c r="F90" s="13" t="s">
        <v>64</v>
      </c>
      <c r="G90" s="26">
        <v>2</v>
      </c>
      <c r="H90" s="26">
        <v>2</v>
      </c>
      <c r="I90" s="26">
        <f t="shared" si="7"/>
        <v>0</v>
      </c>
      <c r="J90" s="25" t="s">
        <v>293</v>
      </c>
    </row>
    <row r="91" spans="1:10" ht="13" x14ac:dyDescent="0.15">
      <c r="A91" s="29"/>
      <c r="B91" s="25" t="s">
        <v>46</v>
      </c>
      <c r="C91" s="12" t="s">
        <v>286</v>
      </c>
      <c r="D91" s="25" t="s">
        <v>292</v>
      </c>
      <c r="E91" s="13" t="s">
        <v>41</v>
      </c>
      <c r="F91" s="13" t="s">
        <v>62</v>
      </c>
      <c r="G91" s="26">
        <v>5</v>
      </c>
      <c r="H91" s="26">
        <v>5</v>
      </c>
      <c r="I91" s="26">
        <f t="shared" si="7"/>
        <v>0</v>
      </c>
      <c r="J91" s="25"/>
    </row>
    <row r="92" spans="1:10" ht="13" x14ac:dyDescent="0.15">
      <c r="A92" s="29">
        <v>45967</v>
      </c>
      <c r="B92" s="25" t="s">
        <v>46</v>
      </c>
      <c r="C92" s="12" t="s">
        <v>288</v>
      </c>
      <c r="D92" s="25" t="s">
        <v>295</v>
      </c>
      <c r="E92" s="13" t="s">
        <v>43</v>
      </c>
      <c r="F92" s="13" t="s">
        <v>59</v>
      </c>
      <c r="G92" s="26">
        <v>7</v>
      </c>
      <c r="H92" s="26">
        <v>7</v>
      </c>
      <c r="I92" s="26">
        <f t="shared" si="7"/>
        <v>0</v>
      </c>
      <c r="J92" s="25" t="s">
        <v>297</v>
      </c>
    </row>
    <row r="93" spans="1:10" ht="13" x14ac:dyDescent="0.15">
      <c r="A93" s="29"/>
      <c r="B93" s="25" t="s">
        <v>46</v>
      </c>
      <c r="C93" s="12" t="s">
        <v>288</v>
      </c>
      <c r="D93" s="25" t="s">
        <v>295</v>
      </c>
      <c r="E93" s="13" t="s">
        <v>43</v>
      </c>
      <c r="F93" s="13" t="s">
        <v>59</v>
      </c>
      <c r="G93" s="26">
        <v>4</v>
      </c>
      <c r="H93" s="26">
        <v>4</v>
      </c>
      <c r="I93" s="26">
        <f t="shared" si="7"/>
        <v>0</v>
      </c>
      <c r="J93" s="25" t="s">
        <v>297</v>
      </c>
    </row>
    <row r="94" spans="1:10" ht="13" x14ac:dyDescent="0.15">
      <c r="A94" s="29">
        <v>45997</v>
      </c>
      <c r="B94" s="25" t="s">
        <v>46</v>
      </c>
      <c r="C94" s="12" t="s">
        <v>289</v>
      </c>
      <c r="D94" s="25" t="s">
        <v>294</v>
      </c>
      <c r="E94" s="13" t="s">
        <v>45</v>
      </c>
      <c r="F94" s="13" t="s">
        <v>61</v>
      </c>
      <c r="G94" s="26">
        <v>6</v>
      </c>
      <c r="H94" s="26">
        <v>6</v>
      </c>
      <c r="I94" s="26">
        <f t="shared" si="7"/>
        <v>0</v>
      </c>
      <c r="J94" s="25"/>
    </row>
    <row r="95" spans="1:10" ht="13" x14ac:dyDescent="0.15">
      <c r="A95" s="29"/>
      <c r="B95" s="25" t="s">
        <v>46</v>
      </c>
      <c r="C95" s="12" t="s">
        <v>286</v>
      </c>
      <c r="D95" s="25" t="s">
        <v>292</v>
      </c>
      <c r="E95" s="13" t="s">
        <v>41</v>
      </c>
      <c r="F95" s="13" t="s">
        <v>59</v>
      </c>
      <c r="G95" s="26">
        <v>5</v>
      </c>
      <c r="H95" s="26">
        <v>5</v>
      </c>
      <c r="I95" s="26">
        <f t="shared" si="7"/>
        <v>0</v>
      </c>
      <c r="J95" s="25"/>
    </row>
    <row r="96" spans="1:10" ht="13" x14ac:dyDescent="0.15">
      <c r="A96" s="29"/>
      <c r="B96" s="25" t="s">
        <v>46</v>
      </c>
      <c r="C96" s="12" t="s">
        <v>261</v>
      </c>
      <c r="D96" s="25" t="s">
        <v>278</v>
      </c>
      <c r="E96" s="13" t="s">
        <v>43</v>
      </c>
      <c r="F96" s="13" t="s">
        <v>63</v>
      </c>
      <c r="G96" s="26">
        <v>6</v>
      </c>
      <c r="H96" s="26">
        <v>6</v>
      </c>
      <c r="I96" s="26">
        <f t="shared" si="7"/>
        <v>0</v>
      </c>
      <c r="J96" s="25" t="s">
        <v>273</v>
      </c>
    </row>
    <row r="97" spans="1:10" ht="13" x14ac:dyDescent="0.15">
      <c r="A97" s="29" t="s">
        <v>251</v>
      </c>
      <c r="B97" s="25" t="s">
        <v>46</v>
      </c>
      <c r="C97" s="12" t="s">
        <v>287</v>
      </c>
      <c r="D97" s="25" t="s">
        <v>290</v>
      </c>
      <c r="E97" s="13" t="s">
        <v>41</v>
      </c>
      <c r="F97" s="13" t="s">
        <v>64</v>
      </c>
      <c r="G97" s="26">
        <v>4</v>
      </c>
      <c r="H97" s="26">
        <v>4</v>
      </c>
      <c r="I97" s="26">
        <f t="shared" si="7"/>
        <v>0</v>
      </c>
      <c r="J97" s="25" t="s">
        <v>296</v>
      </c>
    </row>
    <row r="98" spans="1:10" ht="13" x14ac:dyDescent="0.15">
      <c r="A98" s="18"/>
      <c r="B98" s="20"/>
      <c r="C98" s="20"/>
      <c r="D98" s="20"/>
      <c r="E98" s="20" t="s">
        <v>15</v>
      </c>
      <c r="F98" s="20"/>
      <c r="G98" s="23">
        <f t="shared" ref="G98:H98" si="8">SUM(G88:G97)</f>
        <v>46</v>
      </c>
      <c r="H98" s="23">
        <f t="shared" si="8"/>
        <v>46</v>
      </c>
      <c r="I98" s="23">
        <f t="shared" si="7"/>
        <v>0</v>
      </c>
      <c r="J98" s="20"/>
    </row>
    <row r="99" spans="1:10" ht="18.75" customHeight="1" x14ac:dyDescent="0.15">
      <c r="A99" s="76" t="s">
        <v>21</v>
      </c>
      <c r="B99" s="63"/>
      <c r="C99" s="63"/>
      <c r="D99" s="63"/>
      <c r="E99" s="63"/>
      <c r="F99" s="63"/>
      <c r="G99" s="63"/>
      <c r="H99" s="63"/>
      <c r="I99" s="63"/>
      <c r="J99" s="64"/>
    </row>
    <row r="100" spans="1:10" ht="13" x14ac:dyDescent="0.15">
      <c r="A100" s="36" t="s">
        <v>11</v>
      </c>
      <c r="B100" s="73" t="s">
        <v>12</v>
      </c>
      <c r="C100" s="63"/>
      <c r="D100" s="63"/>
      <c r="E100" s="63"/>
      <c r="F100" s="63"/>
      <c r="G100" s="63"/>
      <c r="H100" s="63"/>
      <c r="I100" s="63"/>
      <c r="J100" s="64"/>
    </row>
    <row r="101" spans="1:10" ht="28.5" customHeight="1" x14ac:dyDescent="0.15">
      <c r="A101" s="37" t="s">
        <v>13</v>
      </c>
      <c r="B101" s="73" t="s">
        <v>14</v>
      </c>
      <c r="C101" s="63"/>
      <c r="D101" s="63"/>
      <c r="E101" s="63"/>
      <c r="F101" s="63"/>
      <c r="G101" s="63"/>
      <c r="H101" s="63"/>
      <c r="I101" s="63"/>
      <c r="J101" s="64"/>
    </row>
    <row r="102" spans="1:10" ht="13" x14ac:dyDescent="0.15">
      <c r="A102" s="29" t="s">
        <v>252</v>
      </c>
      <c r="B102" s="25" t="s">
        <v>46</v>
      </c>
      <c r="C102" s="12" t="s">
        <v>203</v>
      </c>
      <c r="D102" s="25" t="s">
        <v>204</v>
      </c>
      <c r="E102" s="13" t="s">
        <v>55</v>
      </c>
      <c r="F102" s="13" t="s">
        <v>61</v>
      </c>
      <c r="G102" s="26">
        <v>2</v>
      </c>
      <c r="H102" s="26">
        <v>2.5</v>
      </c>
      <c r="I102" s="26">
        <f t="shared" ref="I102:I117" si="9">H102-G102</f>
        <v>0.5</v>
      </c>
      <c r="J102" s="25"/>
    </row>
    <row r="103" spans="1:10" ht="13" x14ac:dyDescent="0.15">
      <c r="A103" s="29"/>
      <c r="B103" s="25" t="s">
        <v>46</v>
      </c>
      <c r="C103" s="12" t="s">
        <v>205</v>
      </c>
      <c r="D103" s="25" t="s">
        <v>206</v>
      </c>
      <c r="E103" s="13" t="s">
        <v>47</v>
      </c>
      <c r="F103" s="13" t="s">
        <v>61</v>
      </c>
      <c r="G103" s="26">
        <v>4</v>
      </c>
      <c r="H103" s="26">
        <v>3</v>
      </c>
      <c r="I103" s="26">
        <f t="shared" si="9"/>
        <v>-1</v>
      </c>
      <c r="J103" s="25" t="s">
        <v>207</v>
      </c>
    </row>
    <row r="104" spans="1:10" ht="13" x14ac:dyDescent="0.15">
      <c r="A104" s="29" t="s">
        <v>253</v>
      </c>
      <c r="B104" s="25" t="s">
        <v>46</v>
      </c>
      <c r="C104" s="12" t="s">
        <v>208</v>
      </c>
      <c r="D104" s="25" t="s">
        <v>209</v>
      </c>
      <c r="E104" s="13" t="s">
        <v>55</v>
      </c>
      <c r="F104" s="13" t="s">
        <v>61</v>
      </c>
      <c r="G104" s="26">
        <v>1</v>
      </c>
      <c r="H104" s="26">
        <v>1.5</v>
      </c>
      <c r="I104" s="26">
        <f t="shared" si="9"/>
        <v>0.5</v>
      </c>
      <c r="J104" s="25"/>
    </row>
    <row r="105" spans="1:10" ht="13" x14ac:dyDescent="0.15">
      <c r="A105" s="29"/>
      <c r="B105" s="25" t="s">
        <v>46</v>
      </c>
      <c r="C105" s="12" t="s">
        <v>210</v>
      </c>
      <c r="D105" s="25" t="s">
        <v>211</v>
      </c>
      <c r="E105" s="13" t="s">
        <v>39</v>
      </c>
      <c r="F105" s="13" t="s">
        <v>63</v>
      </c>
      <c r="G105" s="26">
        <v>3</v>
      </c>
      <c r="H105" s="26">
        <v>3</v>
      </c>
      <c r="I105" s="26">
        <f t="shared" si="9"/>
        <v>0</v>
      </c>
      <c r="J105" s="25" t="s">
        <v>212</v>
      </c>
    </row>
    <row r="106" spans="1:10" ht="13" x14ac:dyDescent="0.15">
      <c r="A106" s="29"/>
      <c r="B106" s="25" t="s">
        <v>46</v>
      </c>
      <c r="C106" s="12" t="s">
        <v>213</v>
      </c>
      <c r="D106" s="25" t="s">
        <v>214</v>
      </c>
      <c r="E106" s="13" t="s">
        <v>55</v>
      </c>
      <c r="F106" s="13" t="s">
        <v>63</v>
      </c>
      <c r="G106" s="26">
        <v>5</v>
      </c>
      <c r="H106" s="26">
        <v>5</v>
      </c>
      <c r="I106" s="26">
        <f t="shared" si="9"/>
        <v>0</v>
      </c>
      <c r="J106" s="25"/>
    </row>
    <row r="107" spans="1:10" ht="13" x14ac:dyDescent="0.15">
      <c r="A107" s="29"/>
      <c r="B107" s="25" t="s">
        <v>46</v>
      </c>
      <c r="C107" s="12" t="s">
        <v>215</v>
      </c>
      <c r="D107" s="25" t="s">
        <v>216</v>
      </c>
      <c r="E107" s="13" t="s">
        <v>55</v>
      </c>
      <c r="F107" s="13" t="s">
        <v>61</v>
      </c>
      <c r="G107" s="26">
        <v>5</v>
      </c>
      <c r="H107" s="26">
        <v>5</v>
      </c>
      <c r="I107" s="26">
        <f t="shared" si="9"/>
        <v>0</v>
      </c>
      <c r="J107" s="25" t="s">
        <v>217</v>
      </c>
    </row>
    <row r="108" spans="1:10" ht="13" x14ac:dyDescent="0.15">
      <c r="A108" s="29" t="s">
        <v>254</v>
      </c>
      <c r="B108" s="25" t="s">
        <v>46</v>
      </c>
      <c r="C108" s="12" t="s">
        <v>218</v>
      </c>
      <c r="D108" s="25" t="s">
        <v>219</v>
      </c>
      <c r="E108" s="13" t="s">
        <v>41</v>
      </c>
      <c r="F108" s="13" t="s">
        <v>61</v>
      </c>
      <c r="G108" s="26">
        <v>1</v>
      </c>
      <c r="H108" s="26">
        <v>1</v>
      </c>
      <c r="I108" s="26">
        <f t="shared" si="9"/>
        <v>0</v>
      </c>
      <c r="J108" s="25" t="s">
        <v>220</v>
      </c>
    </row>
    <row r="109" spans="1:10" ht="13" x14ac:dyDescent="0.15">
      <c r="A109" s="29"/>
      <c r="B109" s="25" t="s">
        <v>46</v>
      </c>
      <c r="C109" s="12" t="s">
        <v>221</v>
      </c>
      <c r="D109" s="25" t="s">
        <v>222</v>
      </c>
      <c r="E109" s="13" t="s">
        <v>52</v>
      </c>
      <c r="F109" s="13" t="s">
        <v>61</v>
      </c>
      <c r="G109" s="26">
        <v>1</v>
      </c>
      <c r="H109" s="26">
        <v>1.5</v>
      </c>
      <c r="I109" s="26">
        <f t="shared" si="9"/>
        <v>0.5</v>
      </c>
      <c r="J109" s="25"/>
    </row>
    <row r="110" spans="1:10" ht="13" x14ac:dyDescent="0.15">
      <c r="A110" s="29"/>
      <c r="B110" s="25" t="s">
        <v>46</v>
      </c>
      <c r="C110" s="12" t="s">
        <v>223</v>
      </c>
      <c r="D110" s="25" t="s">
        <v>224</v>
      </c>
      <c r="E110" s="13" t="s">
        <v>55</v>
      </c>
      <c r="F110" s="13" t="s">
        <v>61</v>
      </c>
      <c r="G110" s="26">
        <v>2</v>
      </c>
      <c r="H110" s="26">
        <v>2</v>
      </c>
      <c r="I110" s="26">
        <f t="shared" si="9"/>
        <v>0</v>
      </c>
      <c r="J110" s="25"/>
    </row>
    <row r="111" spans="1:10" ht="13" x14ac:dyDescent="0.15">
      <c r="A111" s="29"/>
      <c r="B111" s="25" t="s">
        <v>46</v>
      </c>
      <c r="C111" s="12" t="s">
        <v>235</v>
      </c>
      <c r="D111" s="25" t="s">
        <v>236</v>
      </c>
      <c r="E111" s="13" t="s">
        <v>55</v>
      </c>
      <c r="F111" s="13" t="s">
        <v>61</v>
      </c>
      <c r="G111" s="26">
        <v>3</v>
      </c>
      <c r="H111" s="26">
        <v>3</v>
      </c>
      <c r="I111" s="26">
        <f t="shared" si="9"/>
        <v>0</v>
      </c>
      <c r="J111" s="25" t="s">
        <v>237</v>
      </c>
    </row>
    <row r="112" spans="1:10" ht="13" x14ac:dyDescent="0.15">
      <c r="A112" s="29" t="s">
        <v>255</v>
      </c>
      <c r="B112" s="25" t="s">
        <v>46</v>
      </c>
      <c r="C112" s="12" t="s">
        <v>238</v>
      </c>
      <c r="D112" s="25" t="s">
        <v>239</v>
      </c>
      <c r="E112" s="13" t="s">
        <v>55</v>
      </c>
      <c r="F112" s="13" t="s">
        <v>61</v>
      </c>
      <c r="G112" s="26">
        <v>1</v>
      </c>
      <c r="H112" s="26">
        <v>1</v>
      </c>
      <c r="I112" s="26">
        <f t="shared" si="9"/>
        <v>0</v>
      </c>
      <c r="J112" s="25" t="s">
        <v>240</v>
      </c>
    </row>
    <row r="113" spans="1:10" ht="13" x14ac:dyDescent="0.15">
      <c r="A113" s="29"/>
      <c r="B113" s="25" t="s">
        <v>46</v>
      </c>
      <c r="C113" s="12" t="s">
        <v>241</v>
      </c>
      <c r="D113" s="25" t="s">
        <v>242</v>
      </c>
      <c r="E113" s="13" t="s">
        <v>55</v>
      </c>
      <c r="F113" s="13" t="s">
        <v>59</v>
      </c>
      <c r="G113" s="26">
        <v>5</v>
      </c>
      <c r="H113" s="26">
        <v>5</v>
      </c>
      <c r="I113" s="26">
        <f t="shared" si="9"/>
        <v>0</v>
      </c>
      <c r="J113" s="25"/>
    </row>
    <row r="114" spans="1:10" ht="13" x14ac:dyDescent="0.15">
      <c r="A114" s="29"/>
      <c r="B114" s="25" t="s">
        <v>46</v>
      </c>
      <c r="C114" s="12" t="s">
        <v>225</v>
      </c>
      <c r="D114" s="25" t="s">
        <v>226</v>
      </c>
      <c r="E114" s="13" t="s">
        <v>41</v>
      </c>
      <c r="F114" s="13" t="s">
        <v>61</v>
      </c>
      <c r="G114" s="26">
        <v>0.5</v>
      </c>
      <c r="H114" s="26">
        <v>0.5</v>
      </c>
      <c r="I114" s="26">
        <f t="shared" si="9"/>
        <v>0</v>
      </c>
      <c r="J114" s="25"/>
    </row>
    <row r="115" spans="1:10" ht="13" x14ac:dyDescent="0.15">
      <c r="A115" s="29" t="s">
        <v>256</v>
      </c>
      <c r="B115" s="25" t="s">
        <v>46</v>
      </c>
      <c r="C115" s="12" t="s">
        <v>227</v>
      </c>
      <c r="D115" s="25" t="s">
        <v>228</v>
      </c>
      <c r="E115" s="13" t="s">
        <v>51</v>
      </c>
      <c r="F115" s="13" t="s">
        <v>61</v>
      </c>
      <c r="G115" s="26">
        <v>1</v>
      </c>
      <c r="H115" s="26">
        <v>1</v>
      </c>
      <c r="I115" s="26">
        <f t="shared" si="9"/>
        <v>0</v>
      </c>
      <c r="J115" s="25"/>
    </row>
    <row r="116" spans="1:10" ht="13" x14ac:dyDescent="0.15">
      <c r="A116" s="29"/>
      <c r="B116" s="25" t="s">
        <v>46</v>
      </c>
      <c r="C116" s="12" t="s">
        <v>229</v>
      </c>
      <c r="D116" s="25" t="s">
        <v>230</v>
      </c>
      <c r="E116" s="13" t="s">
        <v>41</v>
      </c>
      <c r="F116" s="13" t="s">
        <v>61</v>
      </c>
      <c r="G116" s="26">
        <v>5</v>
      </c>
      <c r="H116" s="26">
        <v>5</v>
      </c>
      <c r="I116" s="26">
        <f t="shared" si="9"/>
        <v>0</v>
      </c>
      <c r="J116" s="25" t="s">
        <v>231</v>
      </c>
    </row>
    <row r="117" spans="1:10" ht="13" x14ac:dyDescent="0.15">
      <c r="A117" s="29" t="s">
        <v>257</v>
      </c>
      <c r="B117" s="25" t="s">
        <v>46</v>
      </c>
      <c r="C117" s="12" t="s">
        <v>232</v>
      </c>
      <c r="D117" s="25" t="s">
        <v>233</v>
      </c>
      <c r="E117" s="13" t="s">
        <v>55</v>
      </c>
      <c r="F117" s="13" t="s">
        <v>63</v>
      </c>
      <c r="G117" s="26">
        <v>1</v>
      </c>
      <c r="H117" s="26">
        <v>1</v>
      </c>
      <c r="I117" s="26">
        <f t="shared" si="9"/>
        <v>0</v>
      </c>
      <c r="J117" s="25"/>
    </row>
    <row r="118" spans="1:10" ht="13" x14ac:dyDescent="0.15">
      <c r="A118" s="18"/>
      <c r="B118" s="20"/>
      <c r="C118" s="20"/>
      <c r="D118" s="20"/>
      <c r="E118" s="20" t="s">
        <v>15</v>
      </c>
      <c r="F118" s="20"/>
      <c r="G118" s="23">
        <f>SUM(G102:G117)</f>
        <v>40.5</v>
      </c>
      <c r="H118" s="23">
        <f>SUM(H102:H117)</f>
        <v>41</v>
      </c>
      <c r="I118" s="23">
        <f>H118-G118</f>
        <v>0.5</v>
      </c>
      <c r="J118" s="20"/>
    </row>
    <row r="119" spans="1:10" ht="13" x14ac:dyDescent="0.15">
      <c r="A119" s="18"/>
      <c r="B119" s="20"/>
      <c r="C119" s="20"/>
      <c r="D119" s="20"/>
      <c r="E119" s="20" t="s">
        <v>15</v>
      </c>
      <c r="F119" s="20"/>
      <c r="G119" s="23"/>
      <c r="H119" s="42"/>
      <c r="I119" s="23"/>
      <c r="J119" s="20"/>
    </row>
    <row r="120" spans="1:10" ht="13" x14ac:dyDescent="0.15">
      <c r="G120" s="38"/>
      <c r="H120" s="43"/>
      <c r="I120" s="26"/>
    </row>
    <row r="121" spans="1:10" ht="13" x14ac:dyDescent="0.15">
      <c r="E121" s="39" t="s">
        <v>22</v>
      </c>
      <c r="F121" s="39"/>
      <c r="G121" s="40">
        <f>G18+G37+G55+G70+G84+G98+G118</f>
        <v>295</v>
      </c>
      <c r="H121" s="40">
        <f>H18+H37+H55+H70+H84+H98+H118</f>
        <v>303.5</v>
      </c>
      <c r="I121" s="40">
        <f>H121-G121</f>
        <v>8.5</v>
      </c>
    </row>
  </sheetData>
  <autoFilter ref="A1:J18" xr:uid="{00000000-0009-0000-0000-000000000000}"/>
  <customSheetViews>
    <customSheetView guid="{8BAC9A6B-5D32-4E8D-967D-E17D357516F8}" filter="1" showAutoFilter="1">
      <pageMargins left="0" right="0" top="0" bottom="0" header="0" footer="0"/>
      <autoFilter ref="A1:K15" xr:uid="{35AF835B-276A-4342-9496-F6620963A0A0}">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1">
    <mergeCell ref="B101:J101"/>
    <mergeCell ref="A85:J85"/>
    <mergeCell ref="B86:J86"/>
    <mergeCell ref="B87:J87"/>
    <mergeCell ref="A99:J99"/>
    <mergeCell ref="B100:J100"/>
    <mergeCell ref="B57:J57"/>
    <mergeCell ref="B58:J58"/>
    <mergeCell ref="A71:J71"/>
    <mergeCell ref="B72:J72"/>
    <mergeCell ref="B73:J73"/>
    <mergeCell ref="B21:J21"/>
    <mergeCell ref="A38:J38"/>
    <mergeCell ref="B39:J39"/>
    <mergeCell ref="B40:J40"/>
    <mergeCell ref="A56:J56"/>
    <mergeCell ref="A2:J2"/>
    <mergeCell ref="B3:J3"/>
    <mergeCell ref="B4:J4"/>
    <mergeCell ref="A19:J19"/>
    <mergeCell ref="B20:J20"/>
  </mergeCells>
  <conditionalFormatting sqref="B5:B17 B20:B36 B41:B54 B59:B69 B74:B83 B88:B97 B102:B117">
    <cfRule type="containsText" dxfId="10" priority="1" operator="containsText" text="Unplanned">
      <formula>NOT(ISERROR(SEARCH(("Unplanned"),(B5))))</formula>
    </cfRule>
    <cfRule type="containsText" dxfId="9" priority="2" operator="containsText" text="Planned">
      <formula>NOT(ISERROR(SEARCH(("Planned"),(B5))))</formula>
    </cfRule>
    <cfRule type="containsText" dxfId="8" priority="3" operator="containsText" text="In-Progress">
      <formula>NOT(ISERROR(SEARCH(("In-Progress"),(B5))))</formula>
    </cfRule>
    <cfRule type="containsText" dxfId="7" priority="4" operator="containsText" text="Blocked">
      <formula>NOT(ISERROR(SEARCH(("Blocked"),(B5))))</formula>
    </cfRule>
    <cfRule type="containsText" dxfId="6" priority="5" operator="containsText" text="Done">
      <formula>NOT(ISERROR(SEARCH(("Done"),(B5))))</formula>
    </cfRule>
  </conditionalFormatting>
  <conditionalFormatting sqref="B5:B18 B20:B37 B39:B55 B57:B70 B72:B84 B86:B98 B100:B118">
    <cfRule type="containsText" dxfId="5" priority="6" operator="containsText" text="Unplanned">
      <formula>NOT(ISERROR(SEARCH(("Unplanned"),(B5))))</formula>
    </cfRule>
    <cfRule type="containsText" dxfId="4" priority="7" operator="containsText" text="Cancelled">
      <formula>NOT(ISERROR(SEARCH(("Cancelled"),(B5))))</formula>
    </cfRule>
  </conditionalFormatting>
  <conditionalFormatting sqref="G1 G3:G18 G22:G37 G41:G55 G59:G70 G74:G84 G88:G98 G102:G121">
    <cfRule type="cellIs" dxfId="3" priority="10" operator="greaterThan">
      <formula>4</formula>
    </cfRule>
  </conditionalFormatting>
  <conditionalFormatting sqref="H1:H121">
    <cfRule type="containsBlanks" dxfId="2" priority="11">
      <formula>LEN(TRIM(H1))=0</formula>
    </cfRule>
  </conditionalFormatting>
  <conditionalFormatting sqref="I5:I18 I22:I37 I41:I55 I59:I70 I74:I84 I88:I98 I102:I121">
    <cfRule type="expression" dxfId="1" priority="8">
      <formula>H5/G5&gt;=1.5</formula>
    </cfRule>
    <cfRule type="expression" dxfId="0" priority="9">
      <formula>H5/G5&lt;=0.5</formula>
    </cfRule>
  </conditionalFormatting>
  <pageMargins left="0.7" right="0.7" top="0.75" bottom="0.75" header="0.3" footer="0.3"/>
  <pageSetup paperSize="9" scale="52" fitToHeight="0" orientation="landscape" horizontalDpi="0" verticalDpi="0"/>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E22:E36 E41:E54 E74:E83 E88:E97 E5:E17 E59:E69 E102:E117</xm:sqref>
        </x14:dataValidation>
        <x14:dataValidation type="list" allowBlank="1" xr:uid="{00000000-0002-0000-0000-000002000000}">
          <x14:formula1>
            <xm:f>'Drop-downs'!$A$2:$A$9</xm:f>
          </x14:formula1>
          <xm:sqref>B22:B36 B41:B54 B74:B83 B88:B97 B5:B17 B59:B69 B102:B117</xm:sqref>
        </x14:dataValidation>
        <x14:dataValidation type="list" allowBlank="1" xr:uid="{022AB9B7-3090-420D-A92F-6C31608AE4FF}">
          <x14:formula1>
            <xm:f>'Drop-downs'!$C$2:$C$9</xm:f>
          </x14:formula1>
          <xm:sqref>F22:F36 F41:F54 F74:F83 F88:F97 F5:F17 F59:F69 F102:F117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workbookViewId="0">
      <selection activeCell="D11" sqref="D11"/>
    </sheetView>
  </sheetViews>
  <sheetFormatPr baseColWidth="10" defaultColWidth="14.5" defaultRowHeight="15" customHeight="1" x14ac:dyDescent="0.15"/>
  <cols>
    <col min="2" max="2" width="27" customWidth="1"/>
    <col min="11" max="11" width="20.5" customWidth="1"/>
  </cols>
  <sheetData>
    <row r="2" spans="2:11" ht="14" x14ac:dyDescent="0.2">
      <c r="B2" s="16" t="s">
        <v>23</v>
      </c>
      <c r="C2" s="2" t="s">
        <v>24</v>
      </c>
      <c r="D2" s="2" t="s">
        <v>25</v>
      </c>
      <c r="E2" s="2" t="s">
        <v>26</v>
      </c>
      <c r="F2" s="2" t="s">
        <v>27</v>
      </c>
      <c r="G2" s="2" t="s">
        <v>28</v>
      </c>
      <c r="H2" s="2" t="s">
        <v>29</v>
      </c>
      <c r="I2" s="2" t="s">
        <v>30</v>
      </c>
      <c r="J2" s="2" t="s">
        <v>31</v>
      </c>
      <c r="K2" s="4" t="s">
        <v>32</v>
      </c>
    </row>
    <row r="3" spans="2:11" ht="14" x14ac:dyDescent="0.2">
      <c r="B3" s="6" t="str">
        <f>'Drop-downs'!C2</f>
        <v>-</v>
      </c>
      <c r="C3" s="8"/>
      <c r="D3" s="8"/>
      <c r="E3" s="8"/>
      <c r="F3" s="8"/>
      <c r="G3" s="8"/>
      <c r="H3" s="8"/>
      <c r="I3" s="8"/>
      <c r="J3" s="8"/>
      <c r="K3" s="9">
        <f t="shared" ref="K3:K10" si="0">SUM(C3:J3)</f>
        <v>0</v>
      </c>
    </row>
    <row r="4" spans="2:11" ht="14" x14ac:dyDescent="0.2">
      <c r="B4" s="6" t="str">
        <f>'Drop-downs'!C3</f>
        <v>ILO 1.4</v>
      </c>
      <c r="C4" s="14" cm="1">
        <f t="array" ref="C4">IFERROR(SUM(_xlfn._xlws.FILTER('Worklog_Tasks&amp;Times'!$H$5:$H$14,'Worklog_Tasks&amp;Times'!$F$5:$F$14=$B4)),0)</f>
        <v>0</v>
      </c>
      <c r="D4" s="14" cm="1">
        <f t="array" ref="D4">IFERROR(SUM(_xlfn._xlws.FILTER('Worklog_Tasks&amp;Times'!$H$22:$H$36,'Worklog_Tasks&amp;Times'!$F$22:$F$36=$B4)),0)</f>
        <v>5</v>
      </c>
      <c r="E4" s="14" cm="1">
        <f t="array" ref="E4">IFERROR(SUM(_xlfn._xlws.FILTER('Worklog_Tasks&amp;Times'!$H$41:$H$54,'Worklog_Tasks&amp;Times'!$F$41:$F$54=$B4)),0)</f>
        <v>0</v>
      </c>
      <c r="F4" s="14" cm="1">
        <f t="array" ref="F4">IFERROR(SUM(_xlfn._xlws.FILTER('Worklog_Tasks&amp;Times'!$H$59:$H$69,'Worklog_Tasks&amp;Times'!$F$59:$F$69=$B4)),0)</f>
        <v>0</v>
      </c>
      <c r="G4" s="14" cm="1">
        <f t="array" ref="G4">IFERROR(SUM(_xlfn._xlws.FILTER('Worklog_Tasks&amp;Times'!$H$74:$H$83,'Worklog_Tasks&amp;Times'!$F$74:$F$83=$B4)),0)</f>
        <v>8</v>
      </c>
      <c r="H4" s="14" cm="1">
        <f t="array" ref="H4">IFERROR(SUM(_xlfn._xlws.FILTER('Worklog_Tasks&amp;Times'!$H$88:$H$97,'Worklog_Tasks&amp;Times'!$F$88:$F$97=$B4)),0)</f>
        <v>17</v>
      </c>
      <c r="I4" s="14" cm="1">
        <f t="array" ref="I4">IFERROR(SUM(_xlfn._xlws.FILTER('Worklog_Tasks&amp;Times'!$H$102:$H$117,'Worklog_Tasks&amp;Times'!$F$102:$F$117=$B4)),0)</f>
        <v>5</v>
      </c>
      <c r="J4" s="14" cm="1">
        <f t="array" ref="J4">IFERROR(SUM(_xlfn._xlws.FILTER('Worklog_Tasks&amp;Times'!#REF!,'Worklog_Tasks&amp;Times'!#REF!=$B4)),0)</f>
        <v>0</v>
      </c>
      <c r="K4" s="9">
        <f t="shared" si="0"/>
        <v>35</v>
      </c>
    </row>
    <row r="5" spans="2:11" ht="14" x14ac:dyDescent="0.2">
      <c r="B5" s="6" t="str">
        <f>'Drop-downs'!C4</f>
        <v>ILO 2.4</v>
      </c>
      <c r="C5" s="14" cm="1">
        <f t="array" ref="C5">IFERROR(SUM(_xlfn._xlws.FILTER('Worklog_Tasks&amp;Times'!$H$5:$H$14,'Worklog_Tasks&amp;Times'!$F$5:$F$14=$B5)),0)</f>
        <v>0</v>
      </c>
      <c r="D5" s="14" cm="1">
        <f t="array" ref="D5">IFERROR(SUM(_xlfn._xlws.FILTER('Worklog_Tasks&amp;Times'!$H$22:$H$36,'Worklog_Tasks&amp;Times'!$F$22:$F$36=$B5)),0)</f>
        <v>4</v>
      </c>
      <c r="E5" s="14" cm="1">
        <f t="array" ref="E5">IFERROR(SUM(_xlfn._xlws.FILTER('Worklog_Tasks&amp;Times'!$H$41:$H$54,'Worklog_Tasks&amp;Times'!$F$41:$F$54=$B5)),0)</f>
        <v>42</v>
      </c>
      <c r="F5" s="14" cm="1">
        <f t="array" ref="F5">IFERROR(SUM(_xlfn._xlws.FILTER('Worklog_Tasks&amp;Times'!$H$59:$H$69,'Worklog_Tasks&amp;Times'!$F$59:$F$69=$B5)),0)</f>
        <v>3</v>
      </c>
      <c r="G5" s="14" cm="1">
        <f t="array" ref="G5">IFERROR(SUM(_xlfn._xlws.FILTER('Worklog_Tasks&amp;Times'!$H$74:$H$83,'Worklog_Tasks&amp;Times'!$F$74:$F$83=$B5)),0)</f>
        <v>3</v>
      </c>
      <c r="H5" s="14" cm="1">
        <f t="array" ref="H5">IFERROR(SUM(_xlfn._xlws.FILTER('Worklog_Tasks&amp;Times'!$H$88:$H$97,'Worklog_Tasks&amp;Times'!$F$88:$F$97=$B5)),0)</f>
        <v>0</v>
      </c>
      <c r="I5" s="14" cm="1">
        <f t="array" ref="I5">IFERROR(SUM(_xlfn._xlws.FILTER('Worklog_Tasks&amp;Times'!$H$102:$H$117,'Worklog_Tasks&amp;Times'!$F$102:$F$117=$B5)),0)</f>
        <v>0</v>
      </c>
      <c r="J5" s="14" cm="1">
        <f t="array" ref="J5">IFERROR(SUM(_xlfn._xlws.FILTER('Worklog_Tasks&amp;Times'!#REF!,'Worklog_Tasks&amp;Times'!#REF!=$B5)),0)</f>
        <v>0</v>
      </c>
      <c r="K5" s="9">
        <f t="shared" si="0"/>
        <v>52</v>
      </c>
    </row>
    <row r="6" spans="2:11" ht="14" x14ac:dyDescent="0.2">
      <c r="B6" s="6" t="str">
        <f>'Drop-downs'!C5</f>
        <v>ILO 3.3</v>
      </c>
      <c r="C6" s="14" cm="1">
        <f t="array" ref="C6">IFERROR(SUM(_xlfn._xlws.FILTER('Worklog_Tasks&amp;Times'!$H$5:$H$14,'Worklog_Tasks&amp;Times'!$F$5:$F$14=$B6)),0)</f>
        <v>0</v>
      </c>
      <c r="D6" s="14" cm="1">
        <f t="array" ref="D6">IFERROR(SUM(_xlfn._xlws.FILTER('Worklog_Tasks&amp;Times'!$H$22:$H$36,'Worklog_Tasks&amp;Times'!$F$22:$F$36=$B6)),0)</f>
        <v>12.5</v>
      </c>
      <c r="E6" s="14" cm="1">
        <f t="array" ref="E6">IFERROR(SUM(_xlfn._xlws.FILTER('Worklog_Tasks&amp;Times'!$H$41:$H$54,'Worklog_Tasks&amp;Times'!$F$41:$F$54=$B6)),0)</f>
        <v>1.5</v>
      </c>
      <c r="F6" s="14" cm="1">
        <f t="array" ref="F6">IFERROR(SUM(_xlfn._xlws.FILTER('Worklog_Tasks&amp;Times'!$H$59:$H$69,'Worklog_Tasks&amp;Times'!$F$59:$F$69=$B6)),0)</f>
        <v>24</v>
      </c>
      <c r="G6" s="14" cm="1">
        <f t="array" ref="G6">IFERROR(SUM(_xlfn._xlws.FILTER('Worklog_Tasks&amp;Times'!$H$74:$H$83,'Worklog_Tasks&amp;Times'!$F$74:$F$83=$B6)),0)</f>
        <v>0</v>
      </c>
      <c r="H6" s="14" cm="1">
        <f t="array" ref="H6">IFERROR(SUM(_xlfn._xlws.FILTER('Worklog_Tasks&amp;Times'!$H$88:$H$97,'Worklog_Tasks&amp;Times'!$F$88:$F$97=$B6)),0)</f>
        <v>6</v>
      </c>
      <c r="I6" s="14" cm="1">
        <f t="array" ref="I6">IFERROR(SUM(_xlfn._xlws.FILTER('Worklog_Tasks&amp;Times'!$H$102:$H$117,'Worklog_Tasks&amp;Times'!$F$102:$F$117=$B6)),0)</f>
        <v>27</v>
      </c>
      <c r="J6" s="14" cm="1">
        <f t="array" ref="J6">IFERROR(SUM(_xlfn._xlws.FILTER('Worklog_Tasks&amp;Times'!#REF!,'Worklog_Tasks&amp;Times'!#REF!=$B6)),0)</f>
        <v>0</v>
      </c>
      <c r="K6" s="9">
        <f t="shared" si="0"/>
        <v>71</v>
      </c>
    </row>
    <row r="7" spans="2:11" ht="14" x14ac:dyDescent="0.2">
      <c r="B7" s="6" t="str">
        <f>'Drop-downs'!C6</f>
        <v>ILO 4.2</v>
      </c>
      <c r="C7" s="14" cm="1">
        <f t="array" ref="C7">IFERROR(SUM(_xlfn._xlws.FILTER('Worklog_Tasks&amp;Times'!$H$5:$H$14,'Worklog_Tasks&amp;Times'!$F$5:$F$14=$B7)),0)</f>
        <v>0</v>
      </c>
      <c r="D7" s="14" cm="1">
        <f t="array" ref="D7">IFERROR(SUM(_xlfn._xlws.FILTER('Worklog_Tasks&amp;Times'!$H$22:$H$36,'Worklog_Tasks&amp;Times'!$F$22:$F$36=$B7)),0)</f>
        <v>4</v>
      </c>
      <c r="E7" s="14" cm="1">
        <f t="array" ref="E7">IFERROR(SUM(_xlfn._xlws.FILTER('Worklog_Tasks&amp;Times'!$H$41:$H$54,'Worklog_Tasks&amp;Times'!$F$41:$F$54=$B7)),0)</f>
        <v>1</v>
      </c>
      <c r="F7" s="14" cm="1">
        <f t="array" ref="F7">IFERROR(SUM(_xlfn._xlws.FILTER('Worklog_Tasks&amp;Times'!$H$59:$H$69,'Worklog_Tasks&amp;Times'!$F$59:$F$69=$B7)),0)</f>
        <v>4</v>
      </c>
      <c r="G7" s="14" cm="1">
        <f t="array" ref="G7">IFERROR(SUM(_xlfn._xlws.FILTER('Worklog_Tasks&amp;Times'!$H$74:$H$83,'Worklog_Tasks&amp;Times'!$F$74:$F$83=$B7)),0)</f>
        <v>0</v>
      </c>
      <c r="H7" s="14" cm="1">
        <f t="array" ref="H7">IFERROR(SUM(_xlfn._xlws.FILTER('Worklog_Tasks&amp;Times'!$H$88:$H$97,'Worklog_Tasks&amp;Times'!$F$88:$F$97=$B7)),0)</f>
        <v>5</v>
      </c>
      <c r="I7" s="14" cm="1">
        <f t="array" ref="I7">IFERROR(SUM(_xlfn._xlws.FILTER('Worklog_Tasks&amp;Times'!$H$102:$H$117,'Worklog_Tasks&amp;Times'!$F$102:$F$117=$B7)),0)</f>
        <v>0</v>
      </c>
      <c r="J7" s="14" cm="1">
        <f t="array" ref="J7">IFERROR(SUM(_xlfn._xlws.FILTER('Worklog_Tasks&amp;Times'!#REF!,'Worklog_Tasks&amp;Times'!#REF!=$B7)),0)</f>
        <v>0</v>
      </c>
      <c r="K7" s="9">
        <f t="shared" si="0"/>
        <v>14</v>
      </c>
    </row>
    <row r="8" spans="2:11" ht="14" x14ac:dyDescent="0.2">
      <c r="B8" s="6" t="str">
        <f>'Drop-downs'!C7</f>
        <v>ILO 6.3</v>
      </c>
      <c r="C8" s="14" cm="1">
        <f t="array" ref="C8">IFERROR(SUM(_xlfn._xlws.FILTER('Worklog_Tasks&amp;Times'!$H$5:$H$14,'Worklog_Tasks&amp;Times'!$F$5:$F$14=$B8)),0)</f>
        <v>31.5</v>
      </c>
      <c r="D8" s="14" cm="1">
        <f t="array" ref="D8">IFERROR(SUM(_xlfn._xlws.FILTER('Worklog_Tasks&amp;Times'!$H$22:$H$36,'Worklog_Tasks&amp;Times'!$F$22:$F$36=$B8)),0)</f>
        <v>8</v>
      </c>
      <c r="E8" s="14" cm="1">
        <f t="array" ref="E8">IFERROR(SUM(_xlfn._xlws.FILTER('Worklog_Tasks&amp;Times'!$H$41:$H$54,'Worklog_Tasks&amp;Times'!$F$41:$F$54=$B8)),0)</f>
        <v>0</v>
      </c>
      <c r="F8" s="14" cm="1">
        <f t="array" ref="F8">IFERROR(SUM(_xlfn._xlws.FILTER('Worklog_Tasks&amp;Times'!$H$59:$H$69,'Worklog_Tasks&amp;Times'!$F$59:$F$69=$B8)),0)</f>
        <v>14</v>
      </c>
      <c r="G8" s="14" cm="1">
        <f t="array" ref="G8">IFERROR(SUM(_xlfn._xlws.FILTER('Worklog_Tasks&amp;Times'!$H$74:$H$83,'Worklog_Tasks&amp;Times'!$F$74:$F$83=$B8)),0)</f>
        <v>0</v>
      </c>
      <c r="H8" s="14" cm="1">
        <f t="array" ref="H8">IFERROR(SUM(_xlfn._xlws.FILTER('Worklog_Tasks&amp;Times'!$H$88:$H$97,'Worklog_Tasks&amp;Times'!$F$88:$F$97=$B8)),0)</f>
        <v>6</v>
      </c>
      <c r="I8" s="14" cm="1">
        <f t="array" ref="I8">IFERROR(SUM(_xlfn._xlws.FILTER('Worklog_Tasks&amp;Times'!$H$102:$H$117,'Worklog_Tasks&amp;Times'!$F$102:$F$117=$B8)),0)</f>
        <v>9</v>
      </c>
      <c r="J8" s="14" cm="1">
        <f t="array" ref="J8">IFERROR(SUM(_xlfn._xlws.FILTER('Worklog_Tasks&amp;Times'!#REF!,'Worklog_Tasks&amp;Times'!#REF!=$B8)),0)</f>
        <v>0</v>
      </c>
      <c r="K8" s="9">
        <f t="shared" ref="K8" si="1">SUM(C8:J8)</f>
        <v>68.5</v>
      </c>
    </row>
    <row r="9" spans="2:11" ht="14" x14ac:dyDescent="0.2">
      <c r="B9" s="6" t="str">
        <f>'Drop-downs'!C8</f>
        <v>ILO 8.4</v>
      </c>
      <c r="C9" s="14" cm="1">
        <f t="array" ref="C9">IFERROR(SUM(_xlfn._xlws.FILTER('Worklog_Tasks&amp;Times'!$H$5:$H$14,'Worklog_Tasks&amp;Times'!$F$5:$F$14=$B9)),0)</f>
        <v>0</v>
      </c>
      <c r="D9" s="14" cm="1">
        <f t="array" ref="D9">IFERROR(SUM(_xlfn._xlws.FILTER('Worklog_Tasks&amp;Times'!$H$22:$H$36,'Worklog_Tasks&amp;Times'!$F$22:$F$36=$B9)),0)</f>
        <v>4</v>
      </c>
      <c r="E9" s="14" cm="1">
        <f t="array" ref="E9">IFERROR(SUM(_xlfn._xlws.FILTER('Worklog_Tasks&amp;Times'!$H$41:$H$54,'Worklog_Tasks&amp;Times'!$F$41:$F$54=$B9)),0)</f>
        <v>0</v>
      </c>
      <c r="F9" s="14" cm="1">
        <f t="array" ref="F9">IFERROR(SUM(_xlfn._xlws.FILTER('Worklog_Tasks&amp;Times'!$H$59:$H$69,'Worklog_Tasks&amp;Times'!$F$59:$F$69=$B9)),0)</f>
        <v>0</v>
      </c>
      <c r="G9" s="14" cm="1">
        <f t="array" ref="G9">IFERROR(SUM(_xlfn._xlws.FILTER('Worklog_Tasks&amp;Times'!$H$74:$H$83,'Worklog_Tasks&amp;Times'!$F$74:$F$83=$B9)),0)</f>
        <v>29</v>
      </c>
      <c r="H9" s="14" cm="1">
        <f t="array" ref="H9">IFERROR(SUM(_xlfn._xlws.FILTER('Worklog_Tasks&amp;Times'!$H$88:$H$97,'Worklog_Tasks&amp;Times'!$F$88:$F$97=$B9)),0)</f>
        <v>12</v>
      </c>
      <c r="I9" s="14" cm="1">
        <f t="array" ref="I9">IFERROR(SUM(_xlfn._xlws.FILTER('Worklog_Tasks&amp;Times'!$H$102:$H$117,'Worklog_Tasks&amp;Times'!$F$102:$F$117=$B9)),0)</f>
        <v>0</v>
      </c>
      <c r="J9" s="14" cm="1">
        <f t="array" ref="J9">IFERROR(SUM(_xlfn._xlws.FILTER('Worklog_Tasks&amp;Times'!#REF!,'Worklog_Tasks&amp;Times'!#REF!=$B9)),0)</f>
        <v>0</v>
      </c>
      <c r="K9" s="9">
        <f t="shared" si="0"/>
        <v>45</v>
      </c>
    </row>
    <row r="10" spans="2:11" ht="14" x14ac:dyDescent="0.2">
      <c r="B10" s="6" t="str">
        <f>'Drop-downs'!C9</f>
        <v>ILO 9.2</v>
      </c>
      <c r="C10" s="14" cm="1">
        <f t="array" ref="C10">IFERROR(SUM(_xlfn._xlws.FILTER('Worklog_Tasks&amp;Times'!$H$5:$H$14,'Worklog_Tasks&amp;Times'!$F$5:$F$14=$B10)),0)</f>
        <v>0</v>
      </c>
      <c r="D10" s="14" cm="1">
        <f t="array" ref="D10">IFERROR(SUM(_xlfn._xlws.FILTER('Worklog_Tasks&amp;Times'!$H$22:$H$36,'Worklog_Tasks&amp;Times'!$F$22:$F$36=$B10)),0)</f>
        <v>9</v>
      </c>
      <c r="E10" s="14" cm="1">
        <f t="array" ref="E10">IFERROR(SUM(_xlfn._xlws.FILTER('Worklog_Tasks&amp;Times'!$H$41:$H$54,'Worklog_Tasks&amp;Times'!$F$41:$F$54=$B10)),0)</f>
        <v>0</v>
      </c>
      <c r="F10" s="14" cm="1">
        <f t="array" ref="F10">IFERROR(SUM(_xlfn._xlws.FILTER('Worklog_Tasks&amp;Times'!$H$59:$H$69,'Worklog_Tasks&amp;Times'!$F$59:$F$69=$B10)),0)</f>
        <v>0</v>
      </c>
      <c r="G10" s="14" cm="1">
        <f t="array" ref="G10">IFERROR(SUM(_xlfn._xlws.FILTER('Worklog_Tasks&amp;Times'!$H$74:$H$83,'Worklog_Tasks&amp;Times'!$F$74:$F$83=$B10)),0)</f>
        <v>0</v>
      </c>
      <c r="H10" s="14" cm="1">
        <f t="array" ref="H10">IFERROR(SUM(_xlfn._xlws.FILTER('Worklog_Tasks&amp;Times'!$H$88:$H$97,'Worklog_Tasks&amp;Times'!$F$88:$F$97=$B10)),0)</f>
        <v>0</v>
      </c>
      <c r="I10" s="14" cm="1">
        <f t="array" ref="I10">IFERROR(SUM(_xlfn._xlws.FILTER('Worklog_Tasks&amp;Times'!$H$102:$H$117,'Worklog_Tasks&amp;Times'!$F$102:$F$117=$B10)),0)</f>
        <v>0</v>
      </c>
      <c r="J10" s="14" cm="1">
        <f t="array" ref="J10">IFERROR(SUM(_xlfn._xlws.FILTER('Worklog_Tasks&amp;Times'!#REF!,'Worklog_Tasks&amp;Times'!#REF!=$B10)),0)</f>
        <v>0</v>
      </c>
      <c r="K10" s="9">
        <f t="shared" si="0"/>
        <v>9</v>
      </c>
    </row>
    <row r="11" spans="2:11" ht="14" x14ac:dyDescent="0.2">
      <c r="B11" s="16" t="s">
        <v>33</v>
      </c>
      <c r="C11" s="17">
        <f>SUM(C3:C10)</f>
        <v>31.5</v>
      </c>
      <c r="D11" s="17">
        <f t="shared" ref="D11:J11" si="2">SUM(D3:D10)</f>
        <v>46.5</v>
      </c>
      <c r="E11" s="17">
        <f t="shared" si="2"/>
        <v>44.5</v>
      </c>
      <c r="F11" s="17">
        <f t="shared" si="2"/>
        <v>45</v>
      </c>
      <c r="G11" s="17">
        <f t="shared" si="2"/>
        <v>40</v>
      </c>
      <c r="H11" s="17">
        <f t="shared" si="2"/>
        <v>46</v>
      </c>
      <c r="I11" s="17">
        <f t="shared" si="2"/>
        <v>41</v>
      </c>
      <c r="J11" s="17">
        <f t="shared" si="2"/>
        <v>0</v>
      </c>
      <c r="K11" s="19"/>
    </row>
    <row r="12" spans="2:11" ht="14" x14ac:dyDescent="0.2">
      <c r="B12" s="21"/>
      <c r="C12" s="22"/>
      <c r="D12" s="22"/>
      <c r="E12" s="22"/>
      <c r="F12" s="22"/>
      <c r="G12" s="22"/>
      <c r="H12" s="22"/>
      <c r="I12" s="22"/>
      <c r="J12" s="22"/>
      <c r="K12" s="22"/>
    </row>
    <row r="13" spans="2:11" ht="15" customHeight="1" x14ac:dyDescent="0.15">
      <c r="B13" s="78" t="s">
        <v>34</v>
      </c>
      <c r="C13" s="79"/>
      <c r="D13" s="79"/>
      <c r="E13" s="79"/>
      <c r="F13" s="79"/>
      <c r="G13" s="79"/>
      <c r="H13" s="79"/>
      <c r="I13" s="79"/>
      <c r="J13" s="79"/>
      <c r="K13" s="79"/>
    </row>
    <row r="17" spans="2:6" ht="15" customHeight="1" x14ac:dyDescent="0.15">
      <c r="B17" s="77" t="s">
        <v>58</v>
      </c>
      <c r="C17" s="77"/>
      <c r="D17" s="77"/>
      <c r="E17" s="77"/>
      <c r="F17" s="77"/>
    </row>
    <row r="18" spans="2:6" ht="15" customHeight="1" x14ac:dyDescent="0.15">
      <c r="B18" s="77"/>
      <c r="C18" s="77"/>
      <c r="D18" s="77"/>
      <c r="E18" s="77"/>
      <c r="F18" s="77"/>
    </row>
    <row r="19" spans="2:6" ht="15" customHeight="1" x14ac:dyDescent="0.15">
      <c r="B19" s="77"/>
      <c r="C19" s="77"/>
      <c r="D19" s="77"/>
      <c r="E19" s="77"/>
      <c r="F19" s="77"/>
    </row>
    <row r="20" spans="2:6" ht="15" customHeight="1" x14ac:dyDescent="0.15">
      <c r="B20" s="77"/>
      <c r="C20" s="77"/>
      <c r="D20" s="77"/>
      <c r="E20" s="77"/>
      <c r="F20" s="77"/>
    </row>
    <row r="21" spans="2:6" ht="15" customHeight="1" x14ac:dyDescent="0.15">
      <c r="B21" s="77"/>
      <c r="C21" s="77"/>
      <c r="D21" s="77"/>
      <c r="E21" s="77"/>
      <c r="F21" s="77"/>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9" sqref="C9"/>
    </sheetView>
  </sheetViews>
  <sheetFormatPr baseColWidth="10" defaultColWidth="14.5" defaultRowHeight="15" customHeight="1" x14ac:dyDescent="0.15"/>
  <cols>
    <col min="1" max="6" width="14.5" customWidth="1"/>
  </cols>
  <sheetData>
    <row r="1" spans="1:3" ht="15.75" customHeight="1" x14ac:dyDescent="0.15">
      <c r="A1" s="1" t="s">
        <v>35</v>
      </c>
      <c r="B1" s="1" t="s">
        <v>4</v>
      </c>
      <c r="C1" s="1" t="s">
        <v>36</v>
      </c>
    </row>
    <row r="2" spans="1:3" ht="15.75" customHeight="1" x14ac:dyDescent="0.15">
      <c r="A2" t="s">
        <v>37</v>
      </c>
      <c r="B2" t="s">
        <v>37</v>
      </c>
      <c r="C2" s="11" t="s">
        <v>37</v>
      </c>
    </row>
    <row r="3" spans="1:3" ht="15.75" customHeight="1" x14ac:dyDescent="0.15">
      <c r="A3" t="s">
        <v>38</v>
      </c>
      <c r="B3" t="s">
        <v>39</v>
      </c>
      <c r="C3" s="11" t="s">
        <v>59</v>
      </c>
    </row>
    <row r="4" spans="1:3" ht="15.75" customHeight="1" x14ac:dyDescent="0.15">
      <c r="A4" t="s">
        <v>40</v>
      </c>
      <c r="B4" t="s">
        <v>41</v>
      </c>
      <c r="C4" s="11" t="s">
        <v>60</v>
      </c>
    </row>
    <row r="5" spans="1:3" ht="15.75" customHeight="1" x14ac:dyDescent="0.15">
      <c r="A5" t="s">
        <v>42</v>
      </c>
      <c r="B5" t="s">
        <v>43</v>
      </c>
      <c r="C5" s="11" t="s">
        <v>61</v>
      </c>
    </row>
    <row r="6" spans="1:3" ht="15.75" customHeight="1" x14ac:dyDescent="0.15">
      <c r="A6" t="s">
        <v>44</v>
      </c>
      <c r="B6" t="s">
        <v>45</v>
      </c>
      <c r="C6" s="11" t="s">
        <v>62</v>
      </c>
    </row>
    <row r="7" spans="1:3" ht="15.75" customHeight="1" x14ac:dyDescent="0.15">
      <c r="A7" t="s">
        <v>46</v>
      </c>
      <c r="B7" t="s">
        <v>47</v>
      </c>
      <c r="C7" s="11" t="s">
        <v>63</v>
      </c>
    </row>
    <row r="8" spans="1:3" ht="15.75" customHeight="1" x14ac:dyDescent="0.15">
      <c r="A8" t="s">
        <v>48</v>
      </c>
      <c r="B8" t="s">
        <v>49</v>
      </c>
      <c r="C8" s="11" t="s">
        <v>64</v>
      </c>
    </row>
    <row r="9" spans="1:3" ht="15.75" customHeight="1" x14ac:dyDescent="0.15">
      <c r="A9" t="s">
        <v>50</v>
      </c>
      <c r="B9" s="11" t="s">
        <v>51</v>
      </c>
      <c r="C9" s="11" t="s">
        <v>65</v>
      </c>
    </row>
    <row r="10" spans="1:3" ht="15.75" customHeight="1" x14ac:dyDescent="0.15">
      <c r="B10" s="11" t="s">
        <v>52</v>
      </c>
    </row>
    <row r="11" spans="1:3" ht="15.75" customHeight="1" x14ac:dyDescent="0.15">
      <c r="B11" s="11" t="s">
        <v>53</v>
      </c>
    </row>
    <row r="12" spans="1:3" ht="15.75" customHeight="1" x14ac:dyDescent="0.15">
      <c r="B12" s="11" t="s">
        <v>54</v>
      </c>
    </row>
    <row r="13" spans="1:3" ht="15.75" customHeight="1" x14ac:dyDescent="0.15">
      <c r="B13" s="11" t="s">
        <v>55</v>
      </c>
    </row>
    <row r="14" spans="1:3" ht="15.75" customHeight="1" x14ac:dyDescent="0.15">
      <c r="B14" s="11" t="s">
        <v>40</v>
      </c>
    </row>
    <row r="15" spans="1:3" ht="15.75" customHeight="1" x14ac:dyDescent="0.15">
      <c r="B15" s="11" t="s">
        <v>56</v>
      </c>
    </row>
    <row r="16" spans="1:3" ht="15.75" customHeight="1" x14ac:dyDescent="0.15">
      <c r="B16" s="11" t="s">
        <v>57</v>
      </c>
    </row>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2308C42A05C4396E8C3F2DAA23FBB" ma:contentTypeVersion="11" ma:contentTypeDescription="Create a new document." ma:contentTypeScope="" ma:versionID="fbfb56406300c9899971e3bb2ca2b417">
  <xsd:schema xmlns:xsd="http://www.w3.org/2001/XMLSchema" xmlns:xs="http://www.w3.org/2001/XMLSchema" xmlns:p="http://schemas.microsoft.com/office/2006/metadata/properties" xmlns:ns3="c5b79d58-b38a-4b87-b38c-f1f3f0d5c921" targetNamespace="http://schemas.microsoft.com/office/2006/metadata/properties" ma:root="true" ma:fieldsID="714488530046d8e88f233dafe22e98a2" ns3:_="">
    <xsd:import namespace="c5b79d58-b38a-4b87-b38c-f1f3f0d5c92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SystemTags"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79d58-b38a-4b87-b38c-f1f3f0d5c92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5b79d58-b38a-4b87-b38c-f1f3f0d5c92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6DDACA-B240-4B46-979E-2337652A2C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79d58-b38a-4b87-b38c-f1f3f0d5c9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0CF63A-30C9-4A8C-8DF9-EA62B8EC1A62}">
  <ds:schemaRefs>
    <ds:schemaRef ds:uri="http://schemas.microsoft.com/office/2006/documentManagement/types"/>
    <ds:schemaRef ds:uri="http://schemas.microsoft.com/office/2006/metadata/properties"/>
    <ds:schemaRef ds:uri="http://www.w3.org/XML/1998/namespace"/>
    <ds:schemaRef ds:uri="c5b79d58-b38a-4b87-b38c-f1f3f0d5c921"/>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67A64A65-7DA4-4AE1-9847-B817073E4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Moghimi, Asma (240791)</cp:lastModifiedBy>
  <cp:revision/>
  <dcterms:created xsi:type="dcterms:W3CDTF">2020-05-11T09:26:10Z</dcterms:created>
  <dcterms:modified xsi:type="dcterms:W3CDTF">2025-06-20T12:43:25Z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0x0101008452308C42A05C4396E8C3F2DAA23FBB</vt:lpwstr>
  </property>
  <property fmtid="{D5CDD505-2E9C-101B-9397-08002B2CF9AE}" pid="3" name="MediaServiceImageTags">
    <vt:lpwstr/>
  </property>
</Properties>
</file>